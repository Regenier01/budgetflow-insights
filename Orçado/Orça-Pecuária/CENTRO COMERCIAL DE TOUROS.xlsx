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\Orça-Pecuária\"/>
    </mc:Choice>
  </mc:AlternateContent>
  <xr:revisionPtr revIDLastSave="0" documentId="13_ncr:1_{ACEE204F-9192-4B19-91D9-E5B289909877}" xr6:coauthVersionLast="47" xr6:coauthVersionMax="47" xr10:uidLastSave="{00000000-0000-0000-0000-000000000000}"/>
  <bookViews>
    <workbookView xWindow="-20520" yWindow="1920" windowWidth="20640" windowHeight="11040" xr2:uid="{5B197DEE-5EC6-4706-804E-51325ED6AEFD}"/>
  </bookViews>
  <sheets>
    <sheet name="CCT" sheetId="1" r:id="rId1"/>
  </sheets>
  <definedNames>
    <definedName name="_xlnm._FilterDatabase" localSheetId="0" hidden="1">CCT!$C$1:$O$24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29" i="1" l="1"/>
  <c r="N29" i="1"/>
  <c r="M29" i="1"/>
  <c r="L29" i="1"/>
  <c r="K29" i="1"/>
  <c r="J29" i="1"/>
  <c r="I29" i="1"/>
  <c r="H29" i="1"/>
  <c r="G29" i="1"/>
  <c r="F29" i="1"/>
  <c r="E29" i="1"/>
  <c r="D29" i="1"/>
  <c r="O28" i="1"/>
  <c r="N28" i="1"/>
  <c r="M28" i="1"/>
  <c r="L28" i="1"/>
  <c r="K28" i="1"/>
  <c r="J28" i="1"/>
  <c r="I28" i="1"/>
  <c r="H28" i="1"/>
  <c r="G28" i="1"/>
  <c r="F28" i="1"/>
  <c r="E28" i="1"/>
  <c r="D28" i="1"/>
  <c r="N31" i="1" l="1"/>
  <c r="N34" i="1" s="1"/>
  <c r="K31" i="1"/>
  <c r="K34" i="1" s="1"/>
  <c r="H31" i="1"/>
  <c r="H34" i="1" s="1"/>
  <c r="G31" i="1"/>
  <c r="G34" i="1" s="1"/>
  <c r="D31" i="1"/>
  <c r="D34" i="1" s="1"/>
  <c r="M31" i="1"/>
  <c r="M34" i="1" s="1"/>
  <c r="E31" i="1"/>
  <c r="E34" i="1" s="1"/>
  <c r="O31" i="1"/>
  <c r="O34" i="1" s="1"/>
  <c r="L31" i="1"/>
  <c r="L34" i="1" s="1"/>
  <c r="J31" i="1"/>
  <c r="J34" i="1" s="1"/>
  <c r="I31" i="1"/>
  <c r="I34" i="1" s="1"/>
  <c r="F31" i="1"/>
  <c r="F34" i="1" s="1"/>
</calcChain>
</file>

<file path=xl/sharedStrings.xml><?xml version="1.0" encoding="utf-8"?>
<sst xmlns="http://schemas.openxmlformats.org/spreadsheetml/2006/main" count="65" uniqueCount="49">
  <si>
    <t>Descrição C. Contábil</t>
  </si>
  <si>
    <t>CUSTO DE PESSOAL</t>
  </si>
  <si>
    <t>ALIMENTACAO ANIMAL</t>
  </si>
  <si>
    <t>SERVIÇOS DE TERCEIROS</t>
  </si>
  <si>
    <t>MANUTENÇÃO E CONSERVAÇÃO DE BENS</t>
  </si>
  <si>
    <t>RATEIO TRATORES LEVES</t>
  </si>
  <si>
    <t>RATEIO SEMEADORAS</t>
  </si>
  <si>
    <t>RATEIO OFICINA</t>
  </si>
  <si>
    <t>RATEIO OUTROS IMPLEMENTOS</t>
  </si>
  <si>
    <t>RATEIO CERQUEIROS</t>
  </si>
  <si>
    <t>DEPRECIACOES</t>
  </si>
  <si>
    <t>EQUIPAMENTOS DE SEGURANCA NO TRABALHO</t>
  </si>
  <si>
    <t>HERBICIDAS E DEFENSIVOS</t>
  </si>
  <si>
    <t>LANCHES E REFEICOES</t>
  </si>
  <si>
    <t>MEDICAMENTOS</t>
  </si>
  <si>
    <t>OUTROS CUSTOS OPERACIONAIS</t>
  </si>
  <si>
    <t>TAXAS E ANUIDADES</t>
  </si>
  <si>
    <t>VACINAS</t>
  </si>
  <si>
    <t>4.2.01.02.0035</t>
  </si>
  <si>
    <t>4.2.01.02.0048</t>
  </si>
  <si>
    <t>4.2.01.02.0024</t>
  </si>
  <si>
    <t>4.2.01.02.0052</t>
  </si>
  <si>
    <t>4.2.01.02.0010</t>
  </si>
  <si>
    <t>4.1.01.21.0002</t>
  </si>
  <si>
    <t>4.1.01.11.0019</t>
  </si>
  <si>
    <t>4.1.01.21.0012</t>
  </si>
  <si>
    <t>4.1.01.11.0003</t>
  </si>
  <si>
    <t>4.1.01.21.0013</t>
  </si>
  <si>
    <t>4.1.01.11.0002</t>
  </si>
  <si>
    <t>RATEIO VEICULOS MEDIOS</t>
  </si>
  <si>
    <t>RATEIO SUPERVISAO PECUARIA</t>
  </si>
  <si>
    <t>RATEIO FABRICA DE SAL E RACAO</t>
  </si>
  <si>
    <t>RATEIO MEDICINA E SEGURANCA</t>
  </si>
  <si>
    <t>RATEIO CARRETAS AGRICOLAS</t>
  </si>
  <si>
    <t>RATEIO CONFRATERNIZACÕES</t>
  </si>
  <si>
    <t>4.2.01.02.0021</t>
  </si>
  <si>
    <t>4.2.01.02.0042</t>
  </si>
  <si>
    <t>4.2.01.02.0034</t>
  </si>
  <si>
    <t>4.2.01.02.0044</t>
  </si>
  <si>
    <t>4.2.01.02.0018</t>
  </si>
  <si>
    <t>4.2.01.02.0017</t>
  </si>
  <si>
    <t>4.1.01.01-CUSTO DE PESSOAL</t>
  </si>
  <si>
    <t>4.1.01.11-CUSTOS RURAIS</t>
  </si>
  <si>
    <t>4.1.01.11.0001</t>
  </si>
  <si>
    <t>4.1.01.02-SERVICOS DE TERCEIROS</t>
  </si>
  <si>
    <t>4.1.01.04-MANUTENCAO E CONSERVACAO DE BENS</t>
  </si>
  <si>
    <t>4.2.01.02-RATEIO DE CUSTOS</t>
  </si>
  <si>
    <t>4.1.01.21-OUTROS CUSTOS OPERACIONAIS</t>
  </si>
  <si>
    <t>4.1.01.05-DEPRECIACOES, EXAUSTOES E AMORTIZACOES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</si>
</sst>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1"/>
    <xf numFmtId="0" fontId="3" fillId="2" borderId="1" xfId="1" applyFont="1" applyFill="1" applyBorder="1" applyAlignment="1">
      <alignment horizontal="left"/>
    </xf>
    <xf numFmtId="0" fontId="1" fillId="3" borderId="2" xfId="1" applyFill="1" applyBorder="1"/>
    <xf numFmtId="44" fontId="1" fillId="0" borderId="0" xfId="1" applyNumberFormat="1"/>
    <xf numFmtId="0" fontId="2" fillId="0" borderId="0" xfId="1" applyFont="1"/>
    <xf numFmtId="164" fontId="1" fillId="0" borderId="0" xfId="1" applyNumberFormat="1"/>
    <xf numFmtId="164" fontId="3" fillId="0" borderId="0" xfId="1" applyNumberFormat="1" applyFont="1"/>
    <xf numFmtId="9" fontId="1" fillId="0" borderId="0" xfId="1" applyNumberFormat="1"/>
    <xf numFmtId="10" fontId="0" fillId="0" borderId="0" xfId="3" applyNumberFormat="1" applyFont="1"/>
    <xf numFmtId="4" fontId="0" fillId="3" borderId="0" xfId="2" applyNumberFormat="1" applyFont="1" applyFill="1" applyBorder="1"/>
    <xf numFmtId="4" fontId="0" fillId="3" borderId="0" xfId="2" applyNumberFormat="1" applyFont="1" applyFill="1"/>
    <xf numFmtId="4" fontId="4" fillId="3" borderId="0" xfId="2" applyNumberFormat="1" applyFont="1" applyFill="1" applyBorder="1"/>
    <xf numFmtId="4" fontId="4" fillId="3" borderId="0" xfId="2" applyNumberFormat="1" applyFont="1" applyFill="1"/>
    <xf numFmtId="17" fontId="5" fillId="0" borderId="3" xfId="0" applyNumberFormat="1" applyFont="1" applyBorder="1" applyAlignment="1">
      <alignment horizontal="center" vertical="center"/>
    </xf>
  </cellXfs>
  <cellStyles count="4">
    <cellStyle name="Moeda 2" xfId="2" xr:uid="{379D62D2-BAB8-4AA0-84A0-904FC97E436D}"/>
    <cellStyle name="Normal" xfId="0" builtinId="0"/>
    <cellStyle name="Normal 2" xfId="1" xr:uid="{1FA808F4-D3B1-4FCB-A864-A908907D86A9}"/>
    <cellStyle name="Porcentagem 2" xfId="3" xr:uid="{57696D17-6B18-40CB-95F6-7258DE3915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23F4-55CC-4482-9374-6E301AFBE336}">
  <sheetPr>
    <tabColor rgb="FFFF0000"/>
  </sheetPr>
  <dimension ref="A1:P38"/>
  <sheetViews>
    <sheetView tabSelected="1" zoomScale="85" zoomScaleNormal="85" workbookViewId="0">
      <pane ySplit="1" topLeftCell="A2" activePane="bottomLeft" state="frozen"/>
      <selection activeCell="R1" sqref="R1:R1048576"/>
      <selection pane="bottomLeft" activeCell="A2" sqref="A2"/>
    </sheetView>
  </sheetViews>
  <sheetFormatPr defaultColWidth="8.88671875" defaultRowHeight="14.4" x14ac:dyDescent="0.3"/>
  <cols>
    <col min="1" max="1" width="50.5546875" style="1" bestFit="1" customWidth="1"/>
    <col min="2" max="2" width="34.44140625" style="1" customWidth="1"/>
    <col min="3" max="3" width="43" style="1" bestFit="1" customWidth="1"/>
    <col min="4" max="4" width="9.21875" style="1" bestFit="1" customWidth="1"/>
    <col min="5" max="5" width="9.44140625" style="1" bestFit="1" customWidth="1"/>
    <col min="6" max="12" width="11" style="1" bestFit="1" customWidth="1"/>
    <col min="13" max="15" width="9.21875" style="1" bestFit="1" customWidth="1"/>
    <col min="16" max="16" width="12.6640625" style="1" bestFit="1" customWidth="1"/>
    <col min="17" max="16384" width="8.88671875" style="1"/>
  </cols>
  <sheetData>
    <row r="1" spans="1:15" x14ac:dyDescent="0.3">
      <c r="C1" s="2" t="s">
        <v>0</v>
      </c>
      <c r="D1" s="14">
        <v>46113</v>
      </c>
      <c r="E1" s="14">
        <v>46143</v>
      </c>
      <c r="F1" s="14">
        <v>46174</v>
      </c>
      <c r="G1" s="14">
        <v>46204</v>
      </c>
      <c r="H1" s="14">
        <v>46235</v>
      </c>
      <c r="I1" s="14">
        <v>46266</v>
      </c>
      <c r="J1" s="14">
        <v>46296</v>
      </c>
      <c r="K1" s="14">
        <v>46327</v>
      </c>
      <c r="L1" s="14">
        <v>46357</v>
      </c>
      <c r="M1" s="14">
        <v>46388</v>
      </c>
      <c r="N1" s="14">
        <v>46419</v>
      </c>
      <c r="O1" s="14">
        <v>46447</v>
      </c>
    </row>
    <row r="2" spans="1:15" x14ac:dyDescent="0.3">
      <c r="A2" t="s">
        <v>41</v>
      </c>
      <c r="C2" s="3" t="s">
        <v>1</v>
      </c>
      <c r="D2" s="10">
        <v>10720.819999999998</v>
      </c>
      <c r="E2" s="10">
        <v>8684.3000000000011</v>
      </c>
      <c r="F2" s="10">
        <v>28939.860000000004</v>
      </c>
      <c r="G2" s="10">
        <v>23716.03</v>
      </c>
      <c r="H2" s="10">
        <v>21223.079999999998</v>
      </c>
      <c r="I2" s="10">
        <v>20962.61</v>
      </c>
      <c r="J2" s="10">
        <v>22095.129999999994</v>
      </c>
      <c r="K2" s="11">
        <v>25619.58</v>
      </c>
      <c r="L2" s="10">
        <v>16187.939999999999</v>
      </c>
      <c r="M2" s="10">
        <v>19834.23</v>
      </c>
      <c r="N2" s="10">
        <v>20093.679999999997</v>
      </c>
      <c r="O2" s="10">
        <v>20309.499999999996</v>
      </c>
    </row>
    <row r="3" spans="1:15" x14ac:dyDescent="0.3">
      <c r="A3" s="1" t="s">
        <v>42</v>
      </c>
      <c r="B3" s="1" t="s">
        <v>43</v>
      </c>
      <c r="C3" s="3" t="s">
        <v>2</v>
      </c>
      <c r="D3" s="10">
        <v>61255.771500000003</v>
      </c>
      <c r="E3" s="10">
        <v>32506.2255</v>
      </c>
      <c r="F3" s="10">
        <v>3716.0235000000002</v>
      </c>
      <c r="G3" s="10">
        <v>3008.7330000000002</v>
      </c>
      <c r="H3" s="10">
        <v>190725.46500000003</v>
      </c>
      <c r="I3" s="10">
        <v>145719.609</v>
      </c>
      <c r="J3" s="10">
        <v>194064.22350000005</v>
      </c>
      <c r="K3" s="10">
        <v>137806.3365</v>
      </c>
      <c r="L3" s="10">
        <v>86381.168999999994</v>
      </c>
      <c r="M3" s="10">
        <v>72816.838499999998</v>
      </c>
      <c r="N3" s="10">
        <v>82665.313500000004</v>
      </c>
      <c r="O3" s="10">
        <v>62633.445</v>
      </c>
    </row>
    <row r="4" spans="1:15" x14ac:dyDescent="0.3">
      <c r="A4" t="s">
        <v>44</v>
      </c>
      <c r="C4" s="3" t="s">
        <v>3</v>
      </c>
      <c r="D4" s="10">
        <v>0</v>
      </c>
      <c r="E4" s="11">
        <v>1421.5739999999998</v>
      </c>
      <c r="F4" s="11">
        <v>1185.7649999999999</v>
      </c>
      <c r="G4" s="11">
        <v>4790.1525000000001</v>
      </c>
      <c r="H4" s="11">
        <v>3238.3889999999997</v>
      </c>
      <c r="I4" s="11">
        <v>10706.807999999999</v>
      </c>
      <c r="J4" s="11">
        <v>17207.158500000001</v>
      </c>
      <c r="K4" s="11">
        <v>7920.4859999999999</v>
      </c>
      <c r="L4" s="11">
        <v>2268.5879999999997</v>
      </c>
      <c r="M4" s="11">
        <v>1971.4905000000001</v>
      </c>
      <c r="N4" s="11">
        <v>276.32850000000002</v>
      </c>
      <c r="O4" s="11">
        <v>175.90649999999999</v>
      </c>
    </row>
    <row r="5" spans="1:15" x14ac:dyDescent="0.3">
      <c r="A5" s="1" t="s">
        <v>45</v>
      </c>
      <c r="C5" s="3" t="s">
        <v>4</v>
      </c>
      <c r="D5" s="10">
        <v>745.62599999999998</v>
      </c>
      <c r="E5" s="11">
        <v>82.6875</v>
      </c>
      <c r="F5" s="11">
        <v>162.48750000000001</v>
      </c>
      <c r="G5" s="11">
        <v>8807.9249999999993</v>
      </c>
      <c r="H5" s="11">
        <v>2500</v>
      </c>
      <c r="I5" s="11">
        <v>5763.3240000000005</v>
      </c>
      <c r="J5" s="11">
        <v>3979.3924999999999</v>
      </c>
      <c r="K5" s="11">
        <v>94.24799999999999</v>
      </c>
      <c r="L5" s="11">
        <v>1089.4064999999998</v>
      </c>
      <c r="M5" s="11">
        <v>1991.703</v>
      </c>
      <c r="N5" s="11">
        <v>6669.5580000000009</v>
      </c>
      <c r="O5" s="11">
        <v>786.94350000000009</v>
      </c>
    </row>
    <row r="6" spans="1:15" x14ac:dyDescent="0.3">
      <c r="A6" s="1" t="s">
        <v>46</v>
      </c>
      <c r="B6" s="1" t="s">
        <v>18</v>
      </c>
      <c r="C6" s="3" t="s">
        <v>5</v>
      </c>
      <c r="D6" s="10">
        <v>1875.8564999999999</v>
      </c>
      <c r="E6" s="11">
        <v>2129.085</v>
      </c>
      <c r="F6" s="11">
        <v>3538.5630000000001</v>
      </c>
      <c r="G6" s="11">
        <v>2294.6174999999998</v>
      </c>
      <c r="H6" s="11">
        <v>1014.867</v>
      </c>
      <c r="I6" s="11">
        <v>0</v>
      </c>
      <c r="J6" s="11">
        <v>11793.579</v>
      </c>
      <c r="K6" s="11">
        <v>10250.582999999999</v>
      </c>
      <c r="L6" s="11">
        <v>525</v>
      </c>
      <c r="M6" s="11">
        <v>890.1585</v>
      </c>
      <c r="N6" s="11">
        <v>1127.7945</v>
      </c>
      <c r="O6" s="11">
        <v>7205.4044999999996</v>
      </c>
    </row>
    <row r="7" spans="1:15" x14ac:dyDescent="0.3">
      <c r="A7" s="1" t="s">
        <v>46</v>
      </c>
      <c r="B7" s="1" t="s">
        <v>19</v>
      </c>
      <c r="C7" s="3" t="s">
        <v>6</v>
      </c>
      <c r="D7" s="12">
        <v>1500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1200</v>
      </c>
      <c r="K7" s="13">
        <v>2000</v>
      </c>
      <c r="L7" s="13">
        <v>0</v>
      </c>
      <c r="M7" s="13">
        <v>1500</v>
      </c>
      <c r="N7" s="13">
        <v>1500</v>
      </c>
      <c r="O7" s="13">
        <v>0</v>
      </c>
    </row>
    <row r="8" spans="1:15" x14ac:dyDescent="0.3">
      <c r="A8" s="1" t="s">
        <v>46</v>
      </c>
      <c r="B8" s="1" t="s">
        <v>35</v>
      </c>
      <c r="C8" s="3" t="s">
        <v>29</v>
      </c>
      <c r="D8" s="12">
        <v>80</v>
      </c>
      <c r="E8" s="13">
        <v>80</v>
      </c>
      <c r="F8" s="13">
        <v>80</v>
      </c>
      <c r="G8" s="13">
        <v>80</v>
      </c>
      <c r="H8" s="13">
        <v>118.833</v>
      </c>
      <c r="I8" s="13">
        <v>120</v>
      </c>
      <c r="J8" s="13">
        <v>120</v>
      </c>
      <c r="K8" s="13">
        <v>20.734999999999999</v>
      </c>
      <c r="L8" s="13">
        <v>100</v>
      </c>
      <c r="M8" s="13">
        <v>135.96450000000002</v>
      </c>
      <c r="N8" s="13">
        <v>80</v>
      </c>
      <c r="O8" s="13">
        <v>120</v>
      </c>
    </row>
    <row r="9" spans="1:15" x14ac:dyDescent="0.3">
      <c r="A9" s="1" t="s">
        <v>46</v>
      </c>
      <c r="B9" s="1" t="s">
        <v>36</v>
      </c>
      <c r="C9" s="3" t="s">
        <v>30</v>
      </c>
      <c r="D9" s="12">
        <v>8773.3914583999976</v>
      </c>
      <c r="E9" s="12">
        <v>6543.3356763999991</v>
      </c>
      <c r="F9" s="12">
        <v>16372.758337600004</v>
      </c>
      <c r="G9" s="12">
        <v>5705.6404419999981</v>
      </c>
      <c r="H9" s="12">
        <v>6687.3720143999999</v>
      </c>
      <c r="I9" s="12">
        <v>6496.5689447999994</v>
      </c>
      <c r="J9" s="12">
        <v>7835.1687848000001</v>
      </c>
      <c r="K9" s="12">
        <v>5019.8338548000011</v>
      </c>
      <c r="L9" s="12">
        <v>5972.3598955999987</v>
      </c>
      <c r="M9" s="12">
        <v>7993.3214667999991</v>
      </c>
      <c r="N9" s="12">
        <v>8366.2778360000029</v>
      </c>
      <c r="O9" s="12">
        <v>8840.6272752000004</v>
      </c>
    </row>
    <row r="10" spans="1:15" x14ac:dyDescent="0.3">
      <c r="A10" s="1" t="s">
        <v>46</v>
      </c>
      <c r="B10" s="1" t="s">
        <v>38</v>
      </c>
      <c r="C10" s="3" t="s">
        <v>31</v>
      </c>
      <c r="D10" s="12">
        <v>736.23579749999999</v>
      </c>
      <c r="E10" s="12">
        <v>908.89211752500023</v>
      </c>
      <c r="F10" s="12">
        <v>1078.7294589750002</v>
      </c>
      <c r="G10" s="12">
        <v>1186.3688967375003</v>
      </c>
      <c r="H10" s="12">
        <v>1167.8447397749999</v>
      </c>
      <c r="I10" s="12">
        <v>1195.2469310250003</v>
      </c>
      <c r="J10" s="12">
        <v>1343.7939973500004</v>
      </c>
      <c r="K10" s="12">
        <v>1064.2489079250001</v>
      </c>
      <c r="L10" s="12">
        <v>795.86890713750029</v>
      </c>
      <c r="M10" s="12">
        <v>794.99869627500027</v>
      </c>
      <c r="N10" s="12">
        <v>678.65326515000004</v>
      </c>
      <c r="O10" s="12">
        <v>969.14647777499988</v>
      </c>
    </row>
    <row r="11" spans="1:15" x14ac:dyDescent="0.3">
      <c r="A11" s="1" t="s">
        <v>46</v>
      </c>
      <c r="B11" s="1" t="s">
        <v>39</v>
      </c>
      <c r="C11" s="3" t="s">
        <v>32</v>
      </c>
      <c r="D11" s="12">
        <v>73.08</v>
      </c>
      <c r="E11" s="12">
        <v>77.028000000000006</v>
      </c>
      <c r="F11" s="12">
        <v>93.166499999999999</v>
      </c>
      <c r="G11" s="12">
        <v>70.255499999999998</v>
      </c>
      <c r="H11" s="12">
        <v>72.502499999999998</v>
      </c>
      <c r="I11" s="12">
        <v>256.29450000000003</v>
      </c>
      <c r="J11" s="12">
        <v>213.34950000000001</v>
      </c>
      <c r="K11" s="12">
        <v>147.2415</v>
      </c>
      <c r="L11" s="12">
        <v>71.662499999999994</v>
      </c>
      <c r="M11" s="12">
        <v>34.230000000000004</v>
      </c>
      <c r="N11" s="12">
        <v>9.5444999999999993</v>
      </c>
      <c r="O11" s="12">
        <v>57.392999999999994</v>
      </c>
    </row>
    <row r="12" spans="1:15" x14ac:dyDescent="0.3">
      <c r="A12" s="1" t="s">
        <v>46</v>
      </c>
      <c r="B12" s="1" t="s">
        <v>20</v>
      </c>
      <c r="C12" s="3" t="s">
        <v>7</v>
      </c>
      <c r="D12" s="12">
        <v>0</v>
      </c>
      <c r="E12" s="13">
        <v>0</v>
      </c>
      <c r="F12" s="13">
        <v>200.98050000000001</v>
      </c>
      <c r="G12" s="13">
        <v>0</v>
      </c>
      <c r="H12" s="13">
        <v>500</v>
      </c>
      <c r="I12" s="13">
        <v>500</v>
      </c>
      <c r="J12" s="13">
        <v>850</v>
      </c>
      <c r="K12" s="13">
        <v>0</v>
      </c>
      <c r="L12" s="13">
        <v>346.20299999999997</v>
      </c>
      <c r="M12" s="13">
        <v>220.227</v>
      </c>
      <c r="N12" s="13">
        <v>0</v>
      </c>
      <c r="O12" s="13">
        <v>0</v>
      </c>
    </row>
    <row r="13" spans="1:15" x14ac:dyDescent="0.3">
      <c r="A13" s="1" t="s">
        <v>46</v>
      </c>
      <c r="B13" s="1" t="s">
        <v>21</v>
      </c>
      <c r="C13" s="3" t="s">
        <v>8</v>
      </c>
      <c r="D13" s="12">
        <v>297.82875000000001</v>
      </c>
      <c r="E13" s="13">
        <v>0</v>
      </c>
      <c r="F13" s="13">
        <v>0</v>
      </c>
      <c r="G13" s="13">
        <v>0</v>
      </c>
      <c r="H13" s="13">
        <v>0</v>
      </c>
      <c r="I13" s="13">
        <v>1935.5482500000001</v>
      </c>
      <c r="J13" s="13">
        <v>500</v>
      </c>
      <c r="K13" s="13">
        <v>407.42500000000001</v>
      </c>
      <c r="L13" s="13">
        <v>215</v>
      </c>
      <c r="M13" s="13">
        <v>215</v>
      </c>
      <c r="N13" s="13">
        <v>215</v>
      </c>
      <c r="O13" s="13">
        <v>215</v>
      </c>
    </row>
    <row r="14" spans="1:15" x14ac:dyDescent="0.3">
      <c r="A14" s="1" t="s">
        <v>46</v>
      </c>
      <c r="B14" t="s">
        <v>40</v>
      </c>
      <c r="C14" s="3" t="s">
        <v>34</v>
      </c>
      <c r="D14" s="12">
        <v>50</v>
      </c>
      <c r="E14" s="13">
        <v>8.0850000000000009</v>
      </c>
      <c r="F14" s="13">
        <v>326.86500000000001</v>
      </c>
      <c r="G14" s="13">
        <v>55.964999999999996</v>
      </c>
      <c r="H14" s="13">
        <v>442.95300000000003</v>
      </c>
      <c r="I14" s="13">
        <v>211.05</v>
      </c>
      <c r="J14" s="13">
        <v>250</v>
      </c>
      <c r="K14" s="13">
        <v>250</v>
      </c>
      <c r="L14" s="13">
        <v>813.56000000000006</v>
      </c>
      <c r="M14" s="13">
        <v>65.075999999999993</v>
      </c>
      <c r="N14" s="13">
        <v>39.743000000000002</v>
      </c>
      <c r="O14" s="13">
        <v>250</v>
      </c>
    </row>
    <row r="15" spans="1:15" x14ac:dyDescent="0.3">
      <c r="A15" s="1" t="s">
        <v>46</v>
      </c>
      <c r="B15" s="1" t="s">
        <v>22</v>
      </c>
      <c r="C15" s="3" t="s">
        <v>9</v>
      </c>
      <c r="D15" s="12">
        <v>748.67099999999994</v>
      </c>
      <c r="E15" s="13">
        <v>7621.8975</v>
      </c>
      <c r="F15" s="13">
        <v>5064.6119999999992</v>
      </c>
      <c r="G15" s="13">
        <v>2589.9720000000002</v>
      </c>
      <c r="H15" s="13">
        <v>0</v>
      </c>
      <c r="I15" s="13">
        <v>0</v>
      </c>
      <c r="J15" s="13">
        <v>1200</v>
      </c>
      <c r="K15" s="13">
        <v>2500</v>
      </c>
      <c r="L15" s="13">
        <v>715.6049999999999</v>
      </c>
      <c r="M15" s="13">
        <v>4242.8320000000003</v>
      </c>
      <c r="N15" s="13">
        <v>1245.5519999999999</v>
      </c>
      <c r="O15" s="13">
        <v>1250</v>
      </c>
    </row>
    <row r="16" spans="1:15" x14ac:dyDescent="0.3">
      <c r="A16" s="1" t="s">
        <v>46</v>
      </c>
      <c r="B16" s="1" t="s">
        <v>37</v>
      </c>
      <c r="C16" s="3" t="s">
        <v>33</v>
      </c>
      <c r="D16" s="12">
        <v>10</v>
      </c>
      <c r="E16" s="13">
        <v>0</v>
      </c>
      <c r="F16" s="13">
        <v>0</v>
      </c>
      <c r="G16" s="13">
        <v>0</v>
      </c>
      <c r="H16" s="13">
        <v>1.3440000000000001</v>
      </c>
      <c r="I16" s="13">
        <v>20.306999999999999</v>
      </c>
      <c r="J16" s="13">
        <v>0</v>
      </c>
      <c r="K16" s="13">
        <v>696.90600000000006</v>
      </c>
      <c r="L16" s="13">
        <v>21</v>
      </c>
      <c r="M16" s="13">
        <v>21</v>
      </c>
      <c r="N16" s="13">
        <v>21</v>
      </c>
      <c r="O16" s="13">
        <v>21</v>
      </c>
    </row>
    <row r="17" spans="1:15" x14ac:dyDescent="0.3">
      <c r="A17" s="1" t="s">
        <v>48</v>
      </c>
      <c r="C17" s="3" t="s">
        <v>10</v>
      </c>
      <c r="D17" s="12">
        <v>17500</v>
      </c>
      <c r="E17" s="12">
        <v>17500</v>
      </c>
      <c r="F17" s="12">
        <v>17500</v>
      </c>
      <c r="G17" s="12">
        <v>17500</v>
      </c>
      <c r="H17" s="12">
        <v>17500</v>
      </c>
      <c r="I17" s="12">
        <v>17500</v>
      </c>
      <c r="J17" s="12">
        <v>17500</v>
      </c>
      <c r="K17" s="12">
        <v>17500</v>
      </c>
      <c r="L17" s="12">
        <v>17500</v>
      </c>
      <c r="M17" s="12">
        <v>17500</v>
      </c>
      <c r="N17" s="12">
        <v>17500</v>
      </c>
      <c r="O17" s="12">
        <v>17500</v>
      </c>
    </row>
    <row r="18" spans="1:15" x14ac:dyDescent="0.3">
      <c r="A18" s="1" t="s">
        <v>47</v>
      </c>
      <c r="B18" s="1" t="s">
        <v>23</v>
      </c>
      <c r="C18" s="3" t="s">
        <v>11</v>
      </c>
      <c r="D18" s="12">
        <v>115</v>
      </c>
      <c r="E18" s="13">
        <v>35.259</v>
      </c>
      <c r="F18" s="13">
        <v>95.298000000000002</v>
      </c>
      <c r="G18" s="13">
        <v>0</v>
      </c>
      <c r="H18" s="13">
        <v>50.82</v>
      </c>
      <c r="I18" s="13">
        <v>0</v>
      </c>
      <c r="J18" s="13">
        <v>0</v>
      </c>
      <c r="K18" s="13">
        <v>0</v>
      </c>
      <c r="L18" s="13">
        <v>94.206000000000003</v>
      </c>
      <c r="M18" s="13">
        <v>6.93</v>
      </c>
      <c r="N18" s="13">
        <v>0</v>
      </c>
      <c r="O18" s="13">
        <v>0</v>
      </c>
    </row>
    <row r="19" spans="1:15" x14ac:dyDescent="0.3">
      <c r="A19" s="1" t="s">
        <v>42</v>
      </c>
      <c r="B19" s="1" t="s">
        <v>24</v>
      </c>
      <c r="C19" s="3" t="s">
        <v>12</v>
      </c>
      <c r="D19" s="12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6471.38</v>
      </c>
      <c r="L19" s="13">
        <v>5800</v>
      </c>
      <c r="M19" s="13">
        <v>2800</v>
      </c>
      <c r="N19" s="13">
        <v>2500</v>
      </c>
      <c r="O19" s="13">
        <v>12000</v>
      </c>
    </row>
    <row r="20" spans="1:15" x14ac:dyDescent="0.3">
      <c r="A20" s="1" t="s">
        <v>47</v>
      </c>
      <c r="B20" s="1" t="s">
        <v>25</v>
      </c>
      <c r="C20" s="3" t="s">
        <v>13</v>
      </c>
      <c r="D20" s="12">
        <v>629.21249999999986</v>
      </c>
      <c r="E20" s="12">
        <v>629.21249999999998</v>
      </c>
      <c r="F20" s="12">
        <v>712.27800000000013</v>
      </c>
      <c r="G20" s="12">
        <v>828.71249999999998</v>
      </c>
      <c r="H20" s="12">
        <v>1038.6599999999999</v>
      </c>
      <c r="I20" s="12">
        <v>629.21249999999998</v>
      </c>
      <c r="J20" s="12">
        <v>1164.6600000000001</v>
      </c>
      <c r="K20" s="12">
        <v>652.995</v>
      </c>
      <c r="L20" s="12">
        <v>106.78500000000005</v>
      </c>
      <c r="M20" s="12">
        <v>1461.0225</v>
      </c>
      <c r="N20" s="12">
        <v>817.42499999999973</v>
      </c>
      <c r="O20" s="12">
        <v>954.39749999999981</v>
      </c>
    </row>
    <row r="21" spans="1:15" x14ac:dyDescent="0.3">
      <c r="A21" s="1" t="s">
        <v>42</v>
      </c>
      <c r="B21" s="1" t="s">
        <v>26</v>
      </c>
      <c r="C21" s="3" t="s">
        <v>14</v>
      </c>
      <c r="D21" s="12">
        <v>1653.981</v>
      </c>
      <c r="E21" s="13">
        <v>0</v>
      </c>
      <c r="F21" s="13">
        <v>0</v>
      </c>
      <c r="G21" s="13">
        <v>1489.2359999999999</v>
      </c>
      <c r="H21" s="13">
        <v>3863.9580000000001</v>
      </c>
      <c r="I21" s="13">
        <v>170.57249999999999</v>
      </c>
      <c r="J21" s="13">
        <v>5447.5680000000002</v>
      </c>
      <c r="K21" s="13">
        <v>0</v>
      </c>
      <c r="L21" s="13">
        <v>1669.4684999999999</v>
      </c>
      <c r="M21" s="13">
        <v>0</v>
      </c>
      <c r="N21" s="13">
        <v>0</v>
      </c>
      <c r="O21" s="13">
        <v>3197.4075000000003</v>
      </c>
    </row>
    <row r="22" spans="1:15" x14ac:dyDescent="0.3">
      <c r="A22" s="1" t="s">
        <v>47</v>
      </c>
      <c r="C22" s="3" t="s">
        <v>15</v>
      </c>
      <c r="D22" s="12">
        <v>0</v>
      </c>
      <c r="E22" s="13">
        <v>0</v>
      </c>
      <c r="F22" s="13">
        <v>0</v>
      </c>
      <c r="G22" s="13">
        <v>0</v>
      </c>
      <c r="H22" s="13">
        <v>0</v>
      </c>
      <c r="I22" s="13">
        <v>262.5</v>
      </c>
      <c r="J22" s="13">
        <v>0</v>
      </c>
      <c r="K22" s="13">
        <v>0</v>
      </c>
      <c r="L22" s="13">
        <v>0</v>
      </c>
      <c r="M22" s="13">
        <v>88.724999999999994</v>
      </c>
      <c r="N22" s="13">
        <v>100</v>
      </c>
      <c r="O22" s="13">
        <v>0</v>
      </c>
    </row>
    <row r="23" spans="1:15" x14ac:dyDescent="0.3">
      <c r="A23" s="1" t="s">
        <v>47</v>
      </c>
      <c r="B23" s="1" t="s">
        <v>27</v>
      </c>
      <c r="C23" s="3" t="s">
        <v>16</v>
      </c>
      <c r="D23" s="12">
        <v>100</v>
      </c>
      <c r="E23" s="13">
        <v>0</v>
      </c>
      <c r="F23" s="13">
        <v>0</v>
      </c>
      <c r="G23" s="13">
        <v>0</v>
      </c>
      <c r="H23" s="13">
        <v>0</v>
      </c>
      <c r="I23" s="13">
        <v>1000</v>
      </c>
      <c r="J23" s="13">
        <v>0</v>
      </c>
      <c r="K23" s="13">
        <v>0</v>
      </c>
      <c r="L23" s="13">
        <v>0</v>
      </c>
      <c r="M23" s="13">
        <v>2500</v>
      </c>
      <c r="N23" s="13">
        <v>0</v>
      </c>
      <c r="O23" s="13">
        <v>0</v>
      </c>
    </row>
    <row r="24" spans="1:15" x14ac:dyDescent="0.3">
      <c r="A24" s="1" t="s">
        <v>42</v>
      </c>
      <c r="B24" s="1" t="s">
        <v>28</v>
      </c>
      <c r="C24" s="3" t="s">
        <v>17</v>
      </c>
      <c r="D24" s="12">
        <v>0</v>
      </c>
      <c r="E24" s="13">
        <v>180.6</v>
      </c>
      <c r="F24" s="13">
        <v>0</v>
      </c>
      <c r="G24" s="13">
        <v>350</v>
      </c>
      <c r="H24" s="13">
        <v>110</v>
      </c>
      <c r="I24" s="13">
        <v>0</v>
      </c>
      <c r="J24" s="13">
        <v>0</v>
      </c>
      <c r="K24" s="13">
        <v>580</v>
      </c>
      <c r="L24" s="13">
        <v>0</v>
      </c>
      <c r="M24" s="13">
        <v>200</v>
      </c>
      <c r="N24" s="13">
        <v>10</v>
      </c>
      <c r="O24" s="13">
        <v>0</v>
      </c>
    </row>
    <row r="26" spans="1:15" hidden="1" x14ac:dyDescent="0.3"/>
    <row r="27" spans="1:15" s="5" customFormat="1" hidden="1" x14ac:dyDescent="0.3">
      <c r="C27" s="1"/>
      <c r="D27" s="6"/>
      <c r="E27" s="6">
        <v>235.67</v>
      </c>
      <c r="F27" s="6">
        <v>3424.17</v>
      </c>
      <c r="G27" s="6">
        <v>4701.13</v>
      </c>
      <c r="H27" s="6">
        <v>7302.77</v>
      </c>
      <c r="I27" s="6">
        <v>8951.6799999999985</v>
      </c>
      <c r="J27" s="6">
        <v>8871.3799999999992</v>
      </c>
      <c r="K27" s="6">
        <v>2292.38</v>
      </c>
      <c r="L27" s="6">
        <v>2292.38</v>
      </c>
      <c r="M27" s="6"/>
      <c r="N27" s="6"/>
      <c r="O27" s="6"/>
    </row>
    <row r="28" spans="1:15" s="5" customFormat="1" hidden="1" x14ac:dyDescent="0.3">
      <c r="C28" s="8">
        <v>0.11</v>
      </c>
      <c r="D28" s="6">
        <f>(D27*11%)+D27</f>
        <v>0</v>
      </c>
      <c r="E28" s="6">
        <f t="shared" ref="E28:O28" si="0">(E27*11%)+E27</f>
        <v>261.59370000000001</v>
      </c>
      <c r="F28" s="6">
        <f t="shared" si="0"/>
        <v>3800.8287</v>
      </c>
      <c r="G28" s="6">
        <f t="shared" si="0"/>
        <v>5218.2543000000005</v>
      </c>
      <c r="H28" s="6">
        <f t="shared" si="0"/>
        <v>8106.0747000000001</v>
      </c>
      <c r="I28" s="6">
        <f t="shared" si="0"/>
        <v>9936.3647999999976</v>
      </c>
      <c r="J28" s="6">
        <f t="shared" si="0"/>
        <v>9847.2317999999996</v>
      </c>
      <c r="K28" s="6">
        <f t="shared" si="0"/>
        <v>2544.5418</v>
      </c>
      <c r="L28" s="6">
        <f t="shared" si="0"/>
        <v>2544.5418</v>
      </c>
      <c r="M28" s="6">
        <f t="shared" si="0"/>
        <v>0</v>
      </c>
      <c r="N28" s="6">
        <f t="shared" si="0"/>
        <v>0</v>
      </c>
      <c r="O28" s="6">
        <f t="shared" si="0"/>
        <v>0</v>
      </c>
    </row>
    <row r="29" spans="1:15" s="5" customFormat="1" hidden="1" x14ac:dyDescent="0.3">
      <c r="C29" s="8">
        <v>0.05</v>
      </c>
      <c r="D29" s="6">
        <f>(D27*5%)+D27</f>
        <v>0</v>
      </c>
      <c r="E29" s="6">
        <f t="shared" ref="E29:O29" si="1">(E27*5%)+E27</f>
        <v>247.45349999999999</v>
      </c>
      <c r="F29" s="6">
        <f t="shared" si="1"/>
        <v>3595.3785000000003</v>
      </c>
      <c r="G29" s="6">
        <f t="shared" si="1"/>
        <v>4936.1864999999998</v>
      </c>
      <c r="H29" s="6">
        <f t="shared" si="1"/>
        <v>7667.9085000000005</v>
      </c>
      <c r="I29" s="6">
        <f t="shared" si="1"/>
        <v>9399.2639999999992</v>
      </c>
      <c r="J29" s="6">
        <f t="shared" si="1"/>
        <v>9314.9489999999987</v>
      </c>
      <c r="K29" s="6">
        <f t="shared" si="1"/>
        <v>2406.9990000000003</v>
      </c>
      <c r="L29" s="6">
        <f t="shared" si="1"/>
        <v>2406.9990000000003</v>
      </c>
      <c r="M29" s="6">
        <f t="shared" si="1"/>
        <v>0</v>
      </c>
      <c r="N29" s="6">
        <f t="shared" si="1"/>
        <v>0</v>
      </c>
      <c r="O29" s="6">
        <f t="shared" si="1"/>
        <v>0</v>
      </c>
    </row>
    <row r="30" spans="1:15" s="5" customFormat="1" hidden="1" x14ac:dyDescent="0.3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s="5" customFormat="1" hidden="1" x14ac:dyDescent="0.3">
      <c r="C31" s="1"/>
      <c r="D31" s="9" t="e">
        <f>D27/#REF!</f>
        <v>#REF!</v>
      </c>
      <c r="E31" s="9" t="e">
        <f>E27/#REF!</f>
        <v>#REF!</v>
      </c>
      <c r="F31" s="9" t="e">
        <f>F27/#REF!</f>
        <v>#REF!</v>
      </c>
      <c r="G31" s="9" t="e">
        <f>G27/#REF!</f>
        <v>#REF!</v>
      </c>
      <c r="H31" s="9" t="e">
        <f>H27/#REF!</f>
        <v>#REF!</v>
      </c>
      <c r="I31" s="9" t="e">
        <f>I27/#REF!</f>
        <v>#REF!</v>
      </c>
      <c r="J31" s="9" t="e">
        <f>J27/#REF!</f>
        <v>#REF!</v>
      </c>
      <c r="K31" s="9" t="e">
        <f>K27/#REF!</f>
        <v>#REF!</v>
      </c>
      <c r="L31" s="9" t="e">
        <f>L27/#REF!</f>
        <v>#REF!</v>
      </c>
      <c r="M31" s="9" t="e">
        <f>M27/#REF!</f>
        <v>#REF!</v>
      </c>
      <c r="N31" s="9" t="e">
        <f>N27/#REF!</f>
        <v>#REF!</v>
      </c>
      <c r="O31" s="9" t="e">
        <f>O27/#REF!</f>
        <v>#REF!</v>
      </c>
    </row>
    <row r="32" spans="1:15" s="5" customFormat="1" hidden="1" x14ac:dyDescent="0.3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6" s="5" customFormat="1" hidden="1" x14ac:dyDescent="0.3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6" s="5" customFormat="1" hidden="1" x14ac:dyDescent="0.3">
      <c r="C34" s="1"/>
      <c r="D34" s="4" t="e">
        <f>D31*#REF!</f>
        <v>#REF!</v>
      </c>
      <c r="E34" s="4" t="e">
        <f>E31*#REF!</f>
        <v>#REF!</v>
      </c>
      <c r="F34" s="4" t="e">
        <f>F31*#REF!</f>
        <v>#REF!</v>
      </c>
      <c r="G34" s="4" t="e">
        <f>G31*#REF!</f>
        <v>#REF!</v>
      </c>
      <c r="H34" s="4" t="e">
        <f>H31*#REF!</f>
        <v>#REF!</v>
      </c>
      <c r="I34" s="4" t="e">
        <f>I31*#REF!</f>
        <v>#REF!</v>
      </c>
      <c r="J34" s="4" t="e">
        <f>J31*#REF!</f>
        <v>#REF!</v>
      </c>
      <c r="K34" s="4" t="e">
        <f>K31*#REF!</f>
        <v>#REF!</v>
      </c>
      <c r="L34" s="4" t="e">
        <f>L31*#REF!</f>
        <v>#REF!</v>
      </c>
      <c r="M34" s="4" t="e">
        <f>M31*#REF!</f>
        <v>#REF!</v>
      </c>
      <c r="N34" s="4" t="e">
        <f>N31*#REF!</f>
        <v>#REF!</v>
      </c>
      <c r="O34" s="4" t="e">
        <f>O31*#REF!</f>
        <v>#REF!</v>
      </c>
    </row>
    <row r="36" spans="1:16" s="5" customFormat="1" x14ac:dyDescent="0.3">
      <c r="A36" s="1"/>
      <c r="B36" s="1"/>
      <c r="C36" s="1"/>
      <c r="D36" s="6"/>
      <c r="E36" s="6"/>
      <c r="F36" s="6"/>
      <c r="G36" s="6"/>
      <c r="H36" s="6"/>
      <c r="I36" s="6"/>
      <c r="J36" s="6"/>
      <c r="K36" s="6"/>
      <c r="L36" s="7"/>
      <c r="M36" s="7"/>
      <c r="N36" s="7"/>
      <c r="O36" s="7"/>
      <c r="P36" s="1"/>
    </row>
    <row r="37" spans="1:16" s="5" customFormat="1" x14ac:dyDescent="0.3">
      <c r="A37" s="1"/>
      <c r="B37" s="1"/>
      <c r="C37" s="1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1"/>
    </row>
    <row r="38" spans="1:16" s="5" customFormat="1" x14ac:dyDescent="0.3">
      <c r="A38" s="1"/>
      <c r="B38" s="1"/>
      <c r="C38" s="1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1"/>
    </row>
  </sheetData>
  <pageMargins left="0.25" right="0.25" top="0.75" bottom="0.75" header="0.3" footer="0.3"/>
  <pageSetup paperSize="9" scale="6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2026-05-15T11:21:05Z</dcterms:created>
  <dcterms:modified xsi:type="dcterms:W3CDTF">2026-05-15T13:20:20Z</dcterms:modified>
</cp:coreProperties>
</file>