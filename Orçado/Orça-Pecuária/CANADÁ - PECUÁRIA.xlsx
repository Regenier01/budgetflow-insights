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13_ncr:1_{ABE1A8C3-C722-41F4-B577-A0B7735838C9}" xr6:coauthVersionLast="47" xr6:coauthVersionMax="47" xr10:uidLastSave="{00000000-0000-0000-0000-000000000000}"/>
  <bookViews>
    <workbookView xWindow="-20520" yWindow="1920" windowWidth="20640" windowHeight="11040" xr2:uid="{E7086FB6-9275-4C47-A2CA-760087461876}"/>
  </bookViews>
  <sheets>
    <sheet name="CANADÁ (2)" sheetId="1" r:id="rId1"/>
  </sheets>
  <definedNames>
    <definedName name="_xlnm._FilterDatabase" localSheetId="0" hidden="1">'CANADÁ (2)'!$C$1:$O$34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4" i="1" l="1"/>
  <c r="N34" i="1"/>
  <c r="M34" i="1"/>
  <c r="L34" i="1"/>
  <c r="K34" i="1"/>
  <c r="J34" i="1"/>
  <c r="I34" i="1"/>
  <c r="H34" i="1"/>
  <c r="G34" i="1"/>
  <c r="F34" i="1"/>
  <c r="E34" i="1"/>
  <c r="D34" i="1"/>
</calcChain>
</file>

<file path=xl/sharedStrings.xml><?xml version="1.0" encoding="utf-8"?>
<sst xmlns="http://schemas.openxmlformats.org/spreadsheetml/2006/main" count="79" uniqueCount="60">
  <si>
    <t>Descrição C. Contábil</t>
  </si>
  <si>
    <t>ALIMENTAÇÃO ANIMAL</t>
  </si>
  <si>
    <t>RATEIO SUPERVISAO PECUARIA</t>
  </si>
  <si>
    <t>RATEIO TRATORES LEVES</t>
  </si>
  <si>
    <t>RATEIO CUSTO DE PESSOAL</t>
  </si>
  <si>
    <t>RATEIO FABRICA RACAO E SAL</t>
  </si>
  <si>
    <t>RATEIO VEICULOS PESADOS</t>
  </si>
  <si>
    <t>SERVICOS DE TERCEIROS PJ</t>
  </si>
  <si>
    <t>MEDICAMENTOS</t>
  </si>
  <si>
    <t>VACINAS</t>
  </si>
  <si>
    <t>DEPRECIACOES</t>
  </si>
  <si>
    <t>FRETES E CARRETOS PJ</t>
  </si>
  <si>
    <t>RATEIO VEICULOS LEVES</t>
  </si>
  <si>
    <t>HERBICIDAS E DEFENSIVOS</t>
  </si>
  <si>
    <t>RATEIO REBOQUE</t>
  </si>
  <si>
    <t>RATEIO TRANSPORTE LEVES ADMINITRACAO</t>
  </si>
  <si>
    <t>TAXAS E ANUIDADES</t>
  </si>
  <si>
    <t>MATERIAIS PARA MANUTENCAO E REFORMA</t>
  </si>
  <si>
    <t>RATEIO CARRETAS AGRICOLAS</t>
  </si>
  <si>
    <t>LANCHES E REFEICOES</t>
  </si>
  <si>
    <t>PECAS, ACESSORIOS E MATERIAIS</t>
  </si>
  <si>
    <t>IMPRESSOS E MATERIAIS DE EXPEDIENTE</t>
  </si>
  <si>
    <t>RATEIO ROCADEIRAS</t>
  </si>
  <si>
    <t>EQUIPAMENTOS DE SEGURANCA NO TRABALHO</t>
  </si>
  <si>
    <t>RATEIO PULVERIZADORES</t>
  </si>
  <si>
    <t>FERRAMENTAS DE TRABALHO</t>
  </si>
  <si>
    <t>OUTROS CUSTOS OPERACIONAIS</t>
  </si>
  <si>
    <t>GRUPO_CONTABIL</t>
  </si>
  <si>
    <t>CONTA_CONTABIL</t>
  </si>
  <si>
    <t>4.1.01.11-CUSTOS RURAIS</t>
  </si>
  <si>
    <t>4.1.01.11.0001</t>
  </si>
  <si>
    <t>4.2.01.02.0042</t>
  </si>
  <si>
    <t>4.2.01.02.0035</t>
  </si>
  <si>
    <t>4.2.01.02.0044</t>
  </si>
  <si>
    <t>4.2.01.02.0038</t>
  </si>
  <si>
    <t>4.1.01.11.0003</t>
  </si>
  <si>
    <t>4.1.01.11.0002</t>
  </si>
  <si>
    <t>4.1.01.02.0004</t>
  </si>
  <si>
    <t>4.2.01.02.0037</t>
  </si>
  <si>
    <t>4.1.01.11.0019</t>
  </si>
  <si>
    <t>4.2.01.02.0039</t>
  </si>
  <si>
    <t>4.2.01.02.0019</t>
  </si>
  <si>
    <t>4.1.01.21.0013</t>
  </si>
  <si>
    <t>4.1.01.04.0003</t>
  </si>
  <si>
    <t>4.2.01.02.0034</t>
  </si>
  <si>
    <t>4.1.01.21.0012</t>
  </si>
  <si>
    <t>4.1.01.04.0002</t>
  </si>
  <si>
    <t>4.1.01.04.0004</t>
  </si>
  <si>
    <t>4.2.01.02.0033</t>
  </si>
  <si>
    <t>4.1.01.21.0002</t>
  </si>
  <si>
    <t>4.1.01.04.0006</t>
  </si>
  <si>
    <t>4.2.01.02-RATEIO DE CUSTOS</t>
  </si>
  <si>
    <t>4.1.01.02-SERVICOS DE TERCEIROS</t>
  </si>
  <si>
    <t>4.1.01.21-OUTROS CUSTOS OPERACIONAIS</t>
  </si>
  <si>
    <t>4.1.01.04-MANUTENCAO E CONSERVACAO DE BENS</t>
  </si>
  <si>
    <t>4.1.01.05-DEPRECIACOES, EXAUSTOES E AMORTIZACOES</t>
  </si>
  <si>
    <t>4.2.01.02.0047</t>
  </si>
  <si>
    <t>4.1.01.01-CUSTO DE PESSOAL</t>
  </si>
  <si>
    <t>4.1.01.03-LOCACOES</t>
  </si>
  <si>
    <t>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</si>
</sst>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1" fillId="0" borderId="0" xfId="1"/>
    <xf numFmtId="0" fontId="2" fillId="2" borderId="1" xfId="1" applyFont="1" applyFill="1" applyBorder="1"/>
    <xf numFmtId="0" fontId="1" fillId="3" borderId="2" xfId="1" applyFill="1" applyBorder="1"/>
    <xf numFmtId="44" fontId="0" fillId="0" borderId="0" xfId="2" applyFont="1"/>
    <xf numFmtId="44" fontId="3" fillId="3" borderId="0" xfId="2" applyFont="1" applyFill="1"/>
    <xf numFmtId="44" fontId="3" fillId="3" borderId="0" xfId="2" applyFont="1" applyFill="1" applyBorder="1"/>
    <xf numFmtId="44" fontId="1" fillId="0" borderId="0" xfId="1" applyNumberFormat="1"/>
    <xf numFmtId="44" fontId="0" fillId="0" borderId="0" xfId="2" applyFont="1" applyAlignment="1">
      <alignment horizontal="center" vertical="center"/>
    </xf>
    <xf numFmtId="164" fontId="1" fillId="0" borderId="0" xfId="1" applyNumberFormat="1"/>
    <xf numFmtId="164" fontId="3" fillId="4" borderId="0" xfId="1" applyNumberFormat="1" applyFont="1" applyFill="1"/>
    <xf numFmtId="4" fontId="0" fillId="3" borderId="0" xfId="2" applyNumberFormat="1" applyFont="1" applyFill="1" applyBorder="1"/>
    <xf numFmtId="4" fontId="3" fillId="3" borderId="3" xfId="2" applyNumberFormat="1" applyFont="1" applyFill="1" applyBorder="1"/>
    <xf numFmtId="4" fontId="3" fillId="3" borderId="0" xfId="2" applyNumberFormat="1" applyFont="1" applyFill="1"/>
    <xf numFmtId="4" fontId="3" fillId="3" borderId="0" xfId="2" applyNumberFormat="1" applyFont="1" applyFill="1" applyBorder="1"/>
    <xf numFmtId="4" fontId="0" fillId="3" borderId="0" xfId="2" applyNumberFormat="1" applyFont="1" applyFill="1"/>
    <xf numFmtId="17" fontId="4" fillId="0" borderId="4" xfId="0" applyNumberFormat="1" applyFont="1" applyBorder="1" applyAlignment="1">
      <alignment horizontal="center" vertical="center"/>
    </xf>
    <xf numFmtId="0" fontId="1" fillId="0" borderId="0" xfId="3"/>
  </cellXfs>
  <cellStyles count="4">
    <cellStyle name="Moeda 3" xfId="2" xr:uid="{1850A574-2C93-4E8B-99A5-BAA962D89B85}"/>
    <cellStyle name="Normal" xfId="0" builtinId="0"/>
    <cellStyle name="Normal 2" xfId="3" xr:uid="{166E7541-A8FB-4A5B-B6E5-03AAB2A35D14}"/>
    <cellStyle name="Normal 3" xfId="1" xr:uid="{E059BD01-3C1A-400D-8A92-7B334577A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1970-9BAC-49ED-82F7-947FA33E8FFC}">
  <sheetPr>
    <tabColor rgb="FFFF0000"/>
  </sheetPr>
  <dimension ref="A1:O43"/>
  <sheetViews>
    <sheetView tabSelected="1" zoomScale="90" zoomScaleNormal="90" workbookViewId="0">
      <pane ySplit="1" topLeftCell="A2" activePane="bottomLeft" state="frozen"/>
      <selection pane="bottomLeft" activeCell="B2" sqref="B2"/>
    </sheetView>
  </sheetViews>
  <sheetFormatPr defaultColWidth="8.88671875" defaultRowHeight="14.4" x14ac:dyDescent="0.3"/>
  <cols>
    <col min="1" max="1" width="50.21875" style="1" bestFit="1" customWidth="1"/>
    <col min="2" max="2" width="16.77734375" style="1" bestFit="1" customWidth="1"/>
    <col min="3" max="3" width="43" style="1" bestFit="1" customWidth="1"/>
    <col min="4" max="15" width="15" style="1" customWidth="1"/>
    <col min="16" max="16384" width="8.88671875" style="1"/>
  </cols>
  <sheetData>
    <row r="1" spans="1:15" x14ac:dyDescent="0.3">
      <c r="A1" s="17" t="s">
        <v>27</v>
      </c>
      <c r="B1" s="17" t="s">
        <v>28</v>
      </c>
      <c r="C1" s="2" t="s">
        <v>0</v>
      </c>
      <c r="D1" s="16">
        <v>46113</v>
      </c>
      <c r="E1" s="16">
        <v>46143</v>
      </c>
      <c r="F1" s="16">
        <v>46174</v>
      </c>
      <c r="G1" s="16">
        <v>46204</v>
      </c>
      <c r="H1" s="16">
        <v>46235</v>
      </c>
      <c r="I1" s="16">
        <v>46266</v>
      </c>
      <c r="J1" s="16">
        <v>46296</v>
      </c>
      <c r="K1" s="16">
        <v>46327</v>
      </c>
      <c r="L1" s="16">
        <v>46357</v>
      </c>
      <c r="M1" s="16">
        <v>46388</v>
      </c>
      <c r="N1" s="16">
        <v>46419</v>
      </c>
      <c r="O1" s="16">
        <v>46447</v>
      </c>
    </row>
    <row r="2" spans="1:15" x14ac:dyDescent="0.3">
      <c r="A2" s="1" t="s">
        <v>58</v>
      </c>
      <c r="B2"/>
      <c r="C2" s="3" t="s">
        <v>59</v>
      </c>
      <c r="D2" s="11">
        <v>32369</v>
      </c>
      <c r="E2" s="11">
        <v>32369</v>
      </c>
      <c r="F2" s="11">
        <v>32369</v>
      </c>
      <c r="G2" s="11">
        <v>32369</v>
      </c>
      <c r="H2" s="11">
        <v>32369</v>
      </c>
      <c r="I2" s="11">
        <v>32369</v>
      </c>
      <c r="J2" s="11">
        <v>32369</v>
      </c>
      <c r="K2" s="11">
        <v>32369</v>
      </c>
      <c r="L2" s="11">
        <v>32369</v>
      </c>
      <c r="M2" s="11">
        <v>32369</v>
      </c>
      <c r="N2" s="11">
        <v>32369</v>
      </c>
      <c r="O2" s="11">
        <v>32369</v>
      </c>
    </row>
    <row r="3" spans="1:15" x14ac:dyDescent="0.3">
      <c r="A3" s="17" t="s">
        <v>29</v>
      </c>
      <c r="B3" s="17" t="s">
        <v>30</v>
      </c>
      <c r="C3" s="3" t="s">
        <v>1</v>
      </c>
      <c r="D3" s="11">
        <v>15388.798662990126</v>
      </c>
      <c r="E3" s="11">
        <v>11852.315650681378</v>
      </c>
      <c r="F3" s="11">
        <v>10438.090823747376</v>
      </c>
      <c r="G3" s="11">
        <v>10188.715846902376</v>
      </c>
      <c r="H3" s="11">
        <v>9532.7277724553769</v>
      </c>
      <c r="I3" s="11">
        <v>8836.5592651333773</v>
      </c>
      <c r="J3" s="11">
        <v>8548.3780340700014</v>
      </c>
      <c r="K3" s="11">
        <v>10526.805967208</v>
      </c>
      <c r="L3" s="11">
        <v>16714.449776424997</v>
      </c>
      <c r="M3" s="11">
        <v>21922.407991675002</v>
      </c>
      <c r="N3" s="11">
        <v>23372.610046925001</v>
      </c>
      <c r="O3" s="11">
        <v>24099.838452425003</v>
      </c>
    </row>
    <row r="4" spans="1:15" x14ac:dyDescent="0.3">
      <c r="A4" s="1" t="s">
        <v>51</v>
      </c>
      <c r="B4" s="1" t="s">
        <v>31</v>
      </c>
      <c r="C4" s="3" t="s">
        <v>2</v>
      </c>
      <c r="D4" s="11">
        <v>8773.3914583999976</v>
      </c>
      <c r="E4" s="11">
        <v>6543.3356763999991</v>
      </c>
      <c r="F4" s="11">
        <v>16372.758337600004</v>
      </c>
      <c r="G4" s="11">
        <v>5705.6404419999981</v>
      </c>
      <c r="H4" s="11">
        <v>6687.3720143999999</v>
      </c>
      <c r="I4" s="11">
        <v>6496.5689447999994</v>
      </c>
      <c r="J4" s="11">
        <v>7835.1687848000001</v>
      </c>
      <c r="K4" s="11">
        <v>5019.8338548000011</v>
      </c>
      <c r="L4" s="11">
        <v>5972.3598955999987</v>
      </c>
      <c r="M4" s="11">
        <v>7993.3214667999991</v>
      </c>
      <c r="N4" s="11">
        <v>8366.2778360000029</v>
      </c>
      <c r="O4" s="11">
        <v>8840.6272752000004</v>
      </c>
    </row>
    <row r="5" spans="1:15" x14ac:dyDescent="0.3">
      <c r="A5" s="1" t="s">
        <v>51</v>
      </c>
      <c r="B5" s="1" t="s">
        <v>32</v>
      </c>
      <c r="C5" s="3" t="s">
        <v>3</v>
      </c>
      <c r="D5" s="11">
        <v>5206.1899999999996</v>
      </c>
      <c r="E5" s="11">
        <v>5206.1899999999996</v>
      </c>
      <c r="F5" s="11">
        <v>5206.1899999999996</v>
      </c>
      <c r="G5" s="11">
        <v>5206.1899999999996</v>
      </c>
      <c r="H5" s="11">
        <v>5206.1899999999996</v>
      </c>
      <c r="I5" s="11">
        <v>5206.1899999999996</v>
      </c>
      <c r="J5" s="11">
        <v>5206.1899999999996</v>
      </c>
      <c r="K5" s="11">
        <v>5206.1899999999996</v>
      </c>
      <c r="L5" s="11">
        <v>5206.1899999999996</v>
      </c>
      <c r="M5" s="11">
        <v>5206.1899999999996</v>
      </c>
      <c r="N5" s="11">
        <v>5206.1899999999996</v>
      </c>
      <c r="O5" s="11">
        <v>5206.1899999999996</v>
      </c>
    </row>
    <row r="6" spans="1:15" x14ac:dyDescent="0.3">
      <c r="A6" t="s">
        <v>57</v>
      </c>
      <c r="C6" s="3" t="s">
        <v>4</v>
      </c>
      <c r="D6" s="11">
        <v>3135</v>
      </c>
      <c r="E6" s="11">
        <v>3135</v>
      </c>
      <c r="F6" s="11">
        <v>3135</v>
      </c>
      <c r="G6" s="11">
        <v>3135</v>
      </c>
      <c r="H6" s="11">
        <v>3135</v>
      </c>
      <c r="I6" s="11">
        <v>3135</v>
      </c>
      <c r="J6" s="11">
        <v>3135</v>
      </c>
      <c r="K6" s="11">
        <v>3135</v>
      </c>
      <c r="L6" s="11">
        <v>3135</v>
      </c>
      <c r="M6" s="11">
        <v>3135</v>
      </c>
      <c r="N6" s="11">
        <v>3135</v>
      </c>
      <c r="O6" s="11">
        <v>3135</v>
      </c>
    </row>
    <row r="7" spans="1:15" x14ac:dyDescent="0.3">
      <c r="A7" s="1" t="s">
        <v>51</v>
      </c>
      <c r="B7" s="1" t="s">
        <v>33</v>
      </c>
      <c r="C7" s="3" t="s">
        <v>5</v>
      </c>
      <c r="D7" s="12">
        <v>1858.1189174999997</v>
      </c>
      <c r="E7" s="13">
        <v>2293.8705823250002</v>
      </c>
      <c r="F7" s="13">
        <v>2722.5076821750004</v>
      </c>
      <c r="G7" s="13">
        <v>2994.1691203375003</v>
      </c>
      <c r="H7" s="13">
        <v>2947.4176765749994</v>
      </c>
      <c r="I7" s="13">
        <v>3016.5755878250002</v>
      </c>
      <c r="J7" s="13">
        <v>3391.4800885500003</v>
      </c>
      <c r="K7" s="13">
        <v>2685.9615295250001</v>
      </c>
      <c r="L7" s="13">
        <v>2008.6215275375005</v>
      </c>
      <c r="M7" s="13">
        <v>2006.4252810750004</v>
      </c>
      <c r="N7" s="13">
        <v>1712.7915739499999</v>
      </c>
      <c r="O7" s="13">
        <v>2445.9411105749996</v>
      </c>
    </row>
    <row r="8" spans="1:15" x14ac:dyDescent="0.3">
      <c r="A8" s="1" t="s">
        <v>51</v>
      </c>
      <c r="B8" s="1" t="s">
        <v>34</v>
      </c>
      <c r="C8" s="3" t="s">
        <v>6</v>
      </c>
      <c r="D8" s="12">
        <v>2353.549</v>
      </c>
      <c r="E8" s="13">
        <v>4180</v>
      </c>
      <c r="F8" s="13">
        <v>9820.1889499999997</v>
      </c>
      <c r="G8" s="13">
        <v>0</v>
      </c>
      <c r="H8" s="13">
        <v>2267.3260500000001</v>
      </c>
      <c r="I8" s="13">
        <v>0</v>
      </c>
      <c r="J8" s="13">
        <v>5222.4920000000002</v>
      </c>
      <c r="K8" s="13">
        <v>0</v>
      </c>
      <c r="L8" s="13">
        <v>0</v>
      </c>
      <c r="M8" s="13">
        <v>2114.7874000000002</v>
      </c>
      <c r="N8" s="13">
        <v>0</v>
      </c>
      <c r="O8" s="13">
        <v>1938.9766</v>
      </c>
    </row>
    <row r="9" spans="1:15" x14ac:dyDescent="0.3">
      <c r="A9" t="s">
        <v>52</v>
      </c>
      <c r="C9" s="3" t="s">
        <v>7</v>
      </c>
      <c r="D9" s="14">
        <v>0</v>
      </c>
      <c r="E9" s="13">
        <v>0</v>
      </c>
      <c r="F9" s="14">
        <v>3702.67535</v>
      </c>
      <c r="G9" s="14">
        <v>11904.54595</v>
      </c>
      <c r="H9" s="14">
        <v>0</v>
      </c>
      <c r="I9" s="14">
        <v>0</v>
      </c>
      <c r="J9" s="14">
        <v>3556.2604000000001</v>
      </c>
      <c r="K9" s="14">
        <v>0</v>
      </c>
      <c r="L9" s="14">
        <v>0</v>
      </c>
      <c r="M9" s="14">
        <v>6559.30825</v>
      </c>
      <c r="N9" s="14">
        <v>0</v>
      </c>
      <c r="O9" s="14">
        <v>0</v>
      </c>
    </row>
    <row r="10" spans="1:15" x14ac:dyDescent="0.3">
      <c r="A10" s="1" t="s">
        <v>29</v>
      </c>
      <c r="B10" s="1" t="s">
        <v>35</v>
      </c>
      <c r="C10" s="3" t="s">
        <v>8</v>
      </c>
      <c r="D10" s="12">
        <v>242.17875000000001</v>
      </c>
      <c r="E10" s="13">
        <v>5284.9829999999993</v>
      </c>
      <c r="F10" s="13">
        <v>0</v>
      </c>
      <c r="G10" s="13">
        <v>0</v>
      </c>
      <c r="H10" s="13">
        <v>300.7928</v>
      </c>
      <c r="I10" s="13">
        <v>218.0915</v>
      </c>
      <c r="J10" s="13">
        <v>2113.5542999999998</v>
      </c>
      <c r="K10" s="13">
        <v>3631.8243500000003</v>
      </c>
      <c r="L10" s="13">
        <v>2051.335</v>
      </c>
      <c r="M10" s="13">
        <v>4697.4944500000001</v>
      </c>
      <c r="N10" s="13">
        <v>1893.54</v>
      </c>
      <c r="O10" s="13">
        <v>4191.0770000000002</v>
      </c>
    </row>
    <row r="11" spans="1:15" x14ac:dyDescent="0.3">
      <c r="A11" s="1" t="s">
        <v>29</v>
      </c>
      <c r="B11" s="1" t="s">
        <v>36</v>
      </c>
      <c r="C11" s="3" t="s">
        <v>9</v>
      </c>
      <c r="D11" s="12">
        <v>0</v>
      </c>
      <c r="E11" s="13">
        <v>6899.6125000000002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1783.3969999999999</v>
      </c>
      <c r="L11" s="13">
        <v>1536.15</v>
      </c>
      <c r="M11" s="13">
        <v>395.01</v>
      </c>
      <c r="N11" s="13">
        <v>62.7</v>
      </c>
      <c r="O11" s="13">
        <v>6221.93</v>
      </c>
    </row>
    <row r="12" spans="1:15" x14ac:dyDescent="0.3">
      <c r="A12" s="17" t="s">
        <v>55</v>
      </c>
      <c r="C12" s="3" t="s">
        <v>10</v>
      </c>
      <c r="D12" s="12">
        <v>1375.3558500000001</v>
      </c>
      <c r="E12" s="13">
        <v>1396.4230500000003</v>
      </c>
      <c r="F12" s="13">
        <v>1393.2253500000004</v>
      </c>
      <c r="G12" s="13">
        <v>1391.6160500000005</v>
      </c>
      <c r="H12" s="13">
        <v>1384.6981500000004</v>
      </c>
      <c r="I12" s="13">
        <v>1398.9206000000006</v>
      </c>
      <c r="J12" s="13">
        <v>1401.2091500000006</v>
      </c>
      <c r="K12" s="13">
        <v>1402.7871000000007</v>
      </c>
      <c r="L12" s="13">
        <v>1402.7871000000007</v>
      </c>
      <c r="M12" s="13">
        <v>1333.2005500000002</v>
      </c>
      <c r="N12" s="13">
        <v>1333.2005500000002</v>
      </c>
      <c r="O12" s="13">
        <v>1313.2410500000003</v>
      </c>
    </row>
    <row r="13" spans="1:15" x14ac:dyDescent="0.3">
      <c r="A13" s="1" t="s">
        <v>52</v>
      </c>
      <c r="B13" s="1" t="s">
        <v>37</v>
      </c>
      <c r="C13" s="3" t="s">
        <v>11</v>
      </c>
      <c r="D13" s="12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12404.0664</v>
      </c>
      <c r="N13" s="13">
        <v>0</v>
      </c>
      <c r="O13" s="13">
        <v>0</v>
      </c>
    </row>
    <row r="14" spans="1:15" x14ac:dyDescent="0.3">
      <c r="A14" s="1" t="s">
        <v>51</v>
      </c>
      <c r="B14" s="1" t="s">
        <v>38</v>
      </c>
      <c r="C14" s="3" t="s">
        <v>12</v>
      </c>
      <c r="D14" s="12">
        <v>959.31</v>
      </c>
      <c r="E14" s="13">
        <v>959.31</v>
      </c>
      <c r="F14" s="13">
        <v>959.31</v>
      </c>
      <c r="G14" s="13">
        <v>959.31</v>
      </c>
      <c r="H14" s="13">
        <v>959.31</v>
      </c>
      <c r="I14" s="13">
        <v>959.31</v>
      </c>
      <c r="J14" s="13">
        <v>959.31</v>
      </c>
      <c r="K14" s="13">
        <v>959.31</v>
      </c>
      <c r="L14" s="13">
        <v>959.31</v>
      </c>
      <c r="M14" s="13">
        <v>959.31</v>
      </c>
      <c r="N14" s="13">
        <v>959.31</v>
      </c>
      <c r="O14" s="13">
        <v>959.31</v>
      </c>
    </row>
    <row r="15" spans="1:15" x14ac:dyDescent="0.3">
      <c r="A15" s="1" t="s">
        <v>29</v>
      </c>
      <c r="B15" s="1" t="s">
        <v>39</v>
      </c>
      <c r="C15" s="3" t="s">
        <v>13</v>
      </c>
      <c r="D15" s="14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3778.5110000000004</v>
      </c>
      <c r="N15" s="13">
        <v>3036.9789999999998</v>
      </c>
      <c r="O15" s="13">
        <v>0</v>
      </c>
    </row>
    <row r="16" spans="1:15" x14ac:dyDescent="0.3">
      <c r="A16" s="1" t="s">
        <v>51</v>
      </c>
      <c r="B16" s="1" t="s">
        <v>40</v>
      </c>
      <c r="C16" s="3" t="s">
        <v>14</v>
      </c>
      <c r="D16" s="14">
        <v>531.48700000000008</v>
      </c>
      <c r="E16" s="13">
        <v>594.60500000000002</v>
      </c>
      <c r="F16" s="13">
        <v>394.72784999999999</v>
      </c>
      <c r="G16" s="13">
        <v>0</v>
      </c>
      <c r="H16" s="13">
        <v>300.95999999999998</v>
      </c>
      <c r="I16" s="13">
        <v>0</v>
      </c>
      <c r="J16" s="13">
        <v>1011.0166</v>
      </c>
      <c r="K16" s="13">
        <v>0</v>
      </c>
      <c r="L16" s="13">
        <v>0</v>
      </c>
      <c r="M16" s="13">
        <v>735.94124999999997</v>
      </c>
      <c r="N16" s="13">
        <v>0</v>
      </c>
      <c r="O16" s="13">
        <v>0</v>
      </c>
    </row>
    <row r="17" spans="1:15" x14ac:dyDescent="0.3">
      <c r="A17" s="1" t="s">
        <v>51</v>
      </c>
      <c r="B17" s="1" t="s">
        <v>41</v>
      </c>
      <c r="C17" s="3" t="s">
        <v>15</v>
      </c>
      <c r="D17" s="14">
        <v>0</v>
      </c>
      <c r="E17" s="13">
        <v>993.29340000000002</v>
      </c>
      <c r="F17" s="13">
        <v>0</v>
      </c>
      <c r="G17" s="13">
        <v>0</v>
      </c>
      <c r="H17" s="13">
        <v>0</v>
      </c>
      <c r="I17" s="13">
        <v>0</v>
      </c>
      <c r="J17" s="13">
        <v>623.12304999999992</v>
      </c>
      <c r="K17" s="13">
        <v>0</v>
      </c>
      <c r="L17" s="13">
        <v>0</v>
      </c>
      <c r="M17" s="13">
        <v>0</v>
      </c>
      <c r="N17" s="13">
        <v>0</v>
      </c>
      <c r="O17" s="13">
        <v>1766.7606000000001</v>
      </c>
    </row>
    <row r="18" spans="1:15" x14ac:dyDescent="0.3">
      <c r="A18" s="1" t="s">
        <v>53</v>
      </c>
      <c r="B18" s="1" t="s">
        <v>42</v>
      </c>
      <c r="C18" s="3" t="s">
        <v>16</v>
      </c>
      <c r="D18" s="14">
        <v>2090</v>
      </c>
      <c r="E18" s="13">
        <v>0</v>
      </c>
      <c r="F18" s="13">
        <v>0</v>
      </c>
      <c r="G18" s="13">
        <v>0</v>
      </c>
      <c r="H18" s="13">
        <v>522.5</v>
      </c>
      <c r="I18" s="13">
        <v>0</v>
      </c>
      <c r="J18" s="13">
        <v>0</v>
      </c>
      <c r="K18" s="13">
        <v>0</v>
      </c>
      <c r="L18" s="13">
        <v>0</v>
      </c>
      <c r="M18" s="13">
        <v>8.0673999999999992</v>
      </c>
      <c r="N18" s="13">
        <v>0</v>
      </c>
      <c r="O18" s="13">
        <v>0</v>
      </c>
    </row>
    <row r="19" spans="1:15" x14ac:dyDescent="0.3">
      <c r="A19" s="1" t="s">
        <v>54</v>
      </c>
      <c r="B19" s="1" t="s">
        <v>43</v>
      </c>
      <c r="C19" s="3" t="s">
        <v>17</v>
      </c>
      <c r="D19" s="14">
        <v>213.18</v>
      </c>
      <c r="E19" s="13">
        <v>213.18</v>
      </c>
      <c r="F19" s="13">
        <v>213.18</v>
      </c>
      <c r="G19" s="13">
        <v>213.18</v>
      </c>
      <c r="H19" s="13">
        <v>213.18</v>
      </c>
      <c r="I19" s="13">
        <v>213.18</v>
      </c>
      <c r="J19" s="13">
        <v>213.18</v>
      </c>
      <c r="K19" s="13">
        <v>213.18</v>
      </c>
      <c r="L19" s="13">
        <v>213.18</v>
      </c>
      <c r="M19" s="13">
        <v>213.18</v>
      </c>
      <c r="N19" s="13">
        <v>213.18</v>
      </c>
      <c r="O19" s="13">
        <v>213.18</v>
      </c>
    </row>
    <row r="20" spans="1:15" x14ac:dyDescent="0.3">
      <c r="A20" s="1" t="s">
        <v>51</v>
      </c>
      <c r="B20" s="1" t="s">
        <v>44</v>
      </c>
      <c r="C20" s="3" t="s">
        <v>18</v>
      </c>
      <c r="D20" s="14">
        <v>209</v>
      </c>
      <c r="E20" s="13">
        <v>209</v>
      </c>
      <c r="F20" s="13">
        <v>209</v>
      </c>
      <c r="G20" s="13">
        <v>209</v>
      </c>
      <c r="H20" s="13">
        <v>209</v>
      </c>
      <c r="I20" s="13">
        <v>209</v>
      </c>
      <c r="J20" s="13">
        <v>209</v>
      </c>
      <c r="K20" s="13">
        <v>209</v>
      </c>
      <c r="L20" s="13">
        <v>209</v>
      </c>
      <c r="M20" s="13">
        <v>209</v>
      </c>
      <c r="N20" s="13">
        <v>209</v>
      </c>
      <c r="O20" s="13">
        <v>209</v>
      </c>
    </row>
    <row r="21" spans="1:15" x14ac:dyDescent="0.3">
      <c r="A21" s="1" t="s">
        <v>53</v>
      </c>
      <c r="B21" s="1" t="s">
        <v>45</v>
      </c>
      <c r="C21" s="3" t="s">
        <v>19</v>
      </c>
      <c r="D21" s="14">
        <v>70.015000000000001</v>
      </c>
      <c r="E21" s="13">
        <v>765.98500000000001</v>
      </c>
      <c r="F21" s="13">
        <v>413.82</v>
      </c>
      <c r="G21" s="13">
        <v>234.08</v>
      </c>
      <c r="H21" s="13">
        <v>306.70749999999998</v>
      </c>
      <c r="I21" s="13">
        <v>72.899200000000008</v>
      </c>
      <c r="J21" s="13">
        <v>178.4442</v>
      </c>
      <c r="K21" s="13">
        <v>67.924999999999997</v>
      </c>
      <c r="L21" s="13">
        <v>67.924999999999997</v>
      </c>
      <c r="M21" s="13">
        <v>29.26</v>
      </c>
      <c r="N21" s="13">
        <v>67.924999999999997</v>
      </c>
      <c r="O21" s="13">
        <v>41.277500000000003</v>
      </c>
    </row>
    <row r="22" spans="1:15" x14ac:dyDescent="0.3">
      <c r="A22" s="1" t="s">
        <v>54</v>
      </c>
      <c r="B22" s="1" t="s">
        <v>46</v>
      </c>
      <c r="C22" s="3" t="s">
        <v>20</v>
      </c>
      <c r="D22" s="14">
        <v>143.16499999999999</v>
      </c>
      <c r="E22" s="13">
        <v>143.16499999999999</v>
      </c>
      <c r="F22" s="13">
        <v>143.16499999999999</v>
      </c>
      <c r="G22" s="13">
        <v>143.16499999999999</v>
      </c>
      <c r="H22" s="13">
        <v>143.16499999999999</v>
      </c>
      <c r="I22" s="13">
        <v>143.16499999999999</v>
      </c>
      <c r="J22" s="13">
        <v>143.16499999999999</v>
      </c>
      <c r="K22" s="13">
        <v>143.16499999999999</v>
      </c>
      <c r="L22" s="13">
        <v>143.16499999999999</v>
      </c>
      <c r="M22" s="13">
        <v>143.16499999999999</v>
      </c>
      <c r="N22" s="13">
        <v>143.16499999999999</v>
      </c>
      <c r="O22" s="13">
        <v>143.16499999999999</v>
      </c>
    </row>
    <row r="23" spans="1:15" x14ac:dyDescent="0.3">
      <c r="A23" s="1" t="s">
        <v>54</v>
      </c>
      <c r="B23" s="1" t="s">
        <v>47</v>
      </c>
      <c r="C23" s="3" t="s">
        <v>21</v>
      </c>
      <c r="D23" s="14">
        <v>93.004999999999995</v>
      </c>
      <c r="E23" s="13">
        <v>93.004999999999995</v>
      </c>
      <c r="F23" s="13">
        <v>93.004999999999995</v>
      </c>
      <c r="G23" s="13">
        <v>93.004999999999995</v>
      </c>
      <c r="H23" s="13">
        <v>93.004999999999995</v>
      </c>
      <c r="I23" s="13">
        <v>93.004999999999995</v>
      </c>
      <c r="J23" s="13">
        <v>93.004999999999995</v>
      </c>
      <c r="K23" s="13">
        <v>93.004999999999995</v>
      </c>
      <c r="L23" s="13">
        <v>93.004999999999995</v>
      </c>
      <c r="M23" s="13">
        <v>93.004999999999995</v>
      </c>
      <c r="N23" s="13">
        <v>93.004999999999995</v>
      </c>
      <c r="O23" s="13">
        <v>93.004999999999995</v>
      </c>
    </row>
    <row r="24" spans="1:15" x14ac:dyDescent="0.3">
      <c r="A24" s="1" t="s">
        <v>51</v>
      </c>
      <c r="B24" s="1" t="s">
        <v>48</v>
      </c>
      <c r="C24" s="3" t="s">
        <v>22</v>
      </c>
      <c r="D24" s="11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305.06684999999999</v>
      </c>
      <c r="L24" s="15">
        <v>317.68</v>
      </c>
      <c r="M24" s="15">
        <v>330.42899999999997</v>
      </c>
      <c r="N24" s="15">
        <v>0</v>
      </c>
      <c r="O24" s="15">
        <v>0</v>
      </c>
    </row>
    <row r="25" spans="1:15" x14ac:dyDescent="0.3">
      <c r="A25" s="1" t="s">
        <v>53</v>
      </c>
      <c r="B25" s="1" t="s">
        <v>49</v>
      </c>
      <c r="C25" s="3" t="s">
        <v>23</v>
      </c>
      <c r="D25" s="14">
        <v>52.25</v>
      </c>
      <c r="E25" s="13">
        <v>52.25</v>
      </c>
      <c r="F25" s="13">
        <v>52.25</v>
      </c>
      <c r="G25" s="13">
        <v>52.25</v>
      </c>
      <c r="H25" s="13">
        <v>52.25</v>
      </c>
      <c r="I25" s="13">
        <v>52.25</v>
      </c>
      <c r="J25" s="13">
        <v>52.25</v>
      </c>
      <c r="K25" s="13">
        <v>52.25</v>
      </c>
      <c r="L25" s="13">
        <v>52.25</v>
      </c>
      <c r="M25" s="13">
        <v>52.25</v>
      </c>
      <c r="N25" s="13">
        <v>52.25</v>
      </c>
      <c r="O25" s="13">
        <v>52.25</v>
      </c>
    </row>
    <row r="26" spans="1:15" x14ac:dyDescent="0.3">
      <c r="A26" s="1" t="s">
        <v>51</v>
      </c>
      <c r="B26" t="s">
        <v>56</v>
      </c>
      <c r="C26" s="3" t="s">
        <v>24</v>
      </c>
      <c r="D26" s="14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204.71550000000002</v>
      </c>
      <c r="N26" s="13">
        <v>310.8039</v>
      </c>
      <c r="O26" s="13">
        <v>0</v>
      </c>
    </row>
    <row r="27" spans="1:15" x14ac:dyDescent="0.3">
      <c r="A27" s="1" t="s">
        <v>54</v>
      </c>
      <c r="B27" s="1" t="s">
        <v>50</v>
      </c>
      <c r="C27" s="3" t="s">
        <v>25</v>
      </c>
      <c r="D27" s="14">
        <v>40.180250000000001</v>
      </c>
      <c r="E27" s="13">
        <v>40.180250000000001</v>
      </c>
      <c r="F27" s="13">
        <v>40.180250000000001</v>
      </c>
      <c r="G27" s="13">
        <v>40.180250000000001</v>
      </c>
      <c r="H27" s="13">
        <v>40.180250000000001</v>
      </c>
      <c r="I27" s="13">
        <v>40.180250000000001</v>
      </c>
      <c r="J27" s="13">
        <v>40.180250000000001</v>
      </c>
      <c r="K27" s="13">
        <v>40.180250000000001</v>
      </c>
      <c r="L27" s="13">
        <v>40.180250000000001</v>
      </c>
      <c r="M27" s="13">
        <v>40.180250000000001</v>
      </c>
      <c r="N27" s="13">
        <v>40.180250000000001</v>
      </c>
      <c r="O27" s="13">
        <v>40.180250000000001</v>
      </c>
    </row>
    <row r="28" spans="1:15" x14ac:dyDescent="0.3">
      <c r="A28" s="17" t="s">
        <v>53</v>
      </c>
      <c r="C28" s="3" t="s">
        <v>26</v>
      </c>
      <c r="D28" s="14">
        <v>18.611449999999998</v>
      </c>
      <c r="E28" s="13">
        <v>18.611449999999998</v>
      </c>
      <c r="F28" s="13">
        <v>18.611449999999998</v>
      </c>
      <c r="G28" s="13">
        <v>18.611449999999998</v>
      </c>
      <c r="H28" s="13">
        <v>18.611449999999998</v>
      </c>
      <c r="I28" s="13">
        <v>18.611449999999998</v>
      </c>
      <c r="J28" s="13">
        <v>18.611449999999998</v>
      </c>
      <c r="K28" s="13">
        <v>18.611449999999998</v>
      </c>
      <c r="L28" s="13">
        <v>18.611449999999998</v>
      </c>
      <c r="M28" s="13">
        <v>18.611449999999998</v>
      </c>
      <c r="N28" s="13">
        <v>18.611449999999998</v>
      </c>
      <c r="O28" s="13">
        <v>18.611449999999998</v>
      </c>
    </row>
    <row r="29" spans="1:15" hidden="1" x14ac:dyDescent="0.3">
      <c r="C29" s="3"/>
      <c r="D29" s="6"/>
      <c r="E29" s="6"/>
      <c r="F29" s="6"/>
      <c r="G29" s="6"/>
      <c r="H29" s="5"/>
      <c r="I29" s="5"/>
      <c r="J29" s="6"/>
      <c r="K29" s="6"/>
      <c r="L29" s="6"/>
      <c r="M29" s="6"/>
      <c r="N29" s="6"/>
      <c r="O29" s="6"/>
    </row>
    <row r="32" spans="1:15" x14ac:dyDescent="0.3">
      <c r="D32" s="8"/>
      <c r="E32" s="8"/>
      <c r="F32" s="8"/>
      <c r="G32" s="8"/>
      <c r="I32" s="9"/>
      <c r="J32" s="9"/>
      <c r="K32" s="9"/>
      <c r="L32" s="9"/>
      <c r="M32" s="9"/>
      <c r="N32" s="9"/>
      <c r="O32" s="9"/>
    </row>
    <row r="33" spans="4:15" hidden="1" x14ac:dyDescent="0.3">
      <c r="D33" s="10">
        <v>0</v>
      </c>
      <c r="E33" s="10">
        <v>0</v>
      </c>
      <c r="F33" s="10">
        <v>0</v>
      </c>
      <c r="G33" s="10">
        <v>2052.96</v>
      </c>
      <c r="H33" s="10">
        <v>0</v>
      </c>
      <c r="I33" s="10">
        <v>0</v>
      </c>
      <c r="J33" s="10">
        <v>0</v>
      </c>
      <c r="K33" s="10">
        <v>9139.52</v>
      </c>
      <c r="L33" s="10">
        <v>0</v>
      </c>
      <c r="M33" s="10">
        <v>0</v>
      </c>
      <c r="N33" s="10">
        <v>2579.2000000000003</v>
      </c>
      <c r="O33" s="10">
        <v>0</v>
      </c>
    </row>
    <row r="34" spans="4:15" hidden="1" x14ac:dyDescent="0.3">
      <c r="D34" s="8">
        <f>(D33*5%)+D33</f>
        <v>0</v>
      </c>
      <c r="E34" s="8">
        <f t="shared" ref="E34:O34" si="0">(E33*5%)+E33</f>
        <v>0</v>
      </c>
      <c r="F34" s="8">
        <f t="shared" si="0"/>
        <v>0</v>
      </c>
      <c r="G34" s="8">
        <f t="shared" si="0"/>
        <v>2155.6080000000002</v>
      </c>
      <c r="H34" s="8">
        <f t="shared" si="0"/>
        <v>0</v>
      </c>
      <c r="I34" s="8">
        <f t="shared" si="0"/>
        <v>0</v>
      </c>
      <c r="J34" s="8">
        <f t="shared" si="0"/>
        <v>0</v>
      </c>
      <c r="K34" s="8">
        <f t="shared" si="0"/>
        <v>9596.496000000001</v>
      </c>
      <c r="L34" s="8">
        <f t="shared" si="0"/>
        <v>0</v>
      </c>
      <c r="M34" s="8">
        <f t="shared" si="0"/>
        <v>0</v>
      </c>
      <c r="N34" s="8">
        <f t="shared" si="0"/>
        <v>2708.1600000000003</v>
      </c>
      <c r="O34" s="8">
        <f t="shared" si="0"/>
        <v>0</v>
      </c>
    </row>
    <row r="35" spans="4:15" x14ac:dyDescent="0.3">
      <c r="D35" s="4"/>
      <c r="E35" s="7"/>
      <c r="F35" s="7"/>
    </row>
    <row r="36" spans="4:15" x14ac:dyDescent="0.3">
      <c r="D36" s="4"/>
      <c r="E36" s="7"/>
      <c r="F36" s="7"/>
      <c r="G36" s="9"/>
      <c r="H36" s="9"/>
      <c r="I36" s="9"/>
      <c r="J36" s="9"/>
      <c r="K36" s="9"/>
      <c r="L36" s="9"/>
      <c r="M36" s="9"/>
      <c r="N36" s="9"/>
      <c r="O36" s="9"/>
    </row>
    <row r="37" spans="4:15" x14ac:dyDescent="0.3">
      <c r="D37" s="4"/>
      <c r="E37" s="7"/>
      <c r="F37" s="7"/>
      <c r="G37" s="9"/>
      <c r="H37" s="9"/>
      <c r="I37" s="9"/>
      <c r="J37" s="9"/>
      <c r="K37" s="9"/>
      <c r="L37" s="9"/>
      <c r="M37" s="9"/>
      <c r="N37" s="9"/>
      <c r="O37" s="9"/>
    </row>
    <row r="43" spans="4:15" x14ac:dyDescent="0.3">
      <c r="D43" s="4"/>
      <c r="E43" s="7"/>
      <c r="F43" s="7"/>
    </row>
  </sheetData>
  <pageMargins left="0.23622047244094491" right="0.23622047244094491" top="0.74803149606299213" bottom="0.74803149606299213" header="0.31496062992125984" footer="0.31496062992125984"/>
  <pageSetup paperSize="9" scale="6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CANADÁ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2026-05-15T11:57:52Z</dcterms:created>
  <dcterms:modified xsi:type="dcterms:W3CDTF">2026-05-15T12:58:09Z</dcterms:modified>
</cp:coreProperties>
</file>