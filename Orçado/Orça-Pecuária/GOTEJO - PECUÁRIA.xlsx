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Pecuária\"/>
    </mc:Choice>
  </mc:AlternateContent>
  <xr:revisionPtr revIDLastSave="0" documentId="13_ncr:1_{36F38D8A-AE3F-47BF-B73E-45F42BF1731C}" xr6:coauthVersionLast="47" xr6:coauthVersionMax="47" xr10:uidLastSave="{00000000-0000-0000-0000-000000000000}"/>
  <bookViews>
    <workbookView xWindow="-108" yWindow="-108" windowWidth="23256" windowHeight="12456" xr2:uid="{5F75B3D0-A615-4144-9532-298A5F72A2D3}"/>
  </bookViews>
  <sheets>
    <sheet name="GOTEJO" sheetId="1" r:id="rId1"/>
  </sheets>
  <definedNames>
    <definedName name="_xlnm._FilterDatabase" localSheetId="0" hidden="1">GOTEJO!$C$1:$O$11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1" i="1" l="1"/>
  <c r="E11" i="1"/>
  <c r="F11" i="1"/>
  <c r="G11" i="1"/>
  <c r="H11" i="1"/>
  <c r="I11" i="1"/>
  <c r="J11" i="1"/>
  <c r="K11" i="1"/>
  <c r="L11" i="1"/>
  <c r="M11" i="1"/>
  <c r="N11" i="1"/>
  <c r="O11" i="1"/>
</calcChain>
</file>

<file path=xl/sharedStrings.xml><?xml version="1.0" encoding="utf-8"?>
<sst xmlns="http://schemas.openxmlformats.org/spreadsheetml/2006/main" count="15" uniqueCount="12">
  <si>
    <t>Descrição C. Contábil</t>
  </si>
  <si>
    <t>ALIMENTACAO ANIMAL</t>
  </si>
  <si>
    <t>DEPRECIACOES</t>
  </si>
  <si>
    <t>FERLILIZANTES</t>
  </si>
  <si>
    <t>RATEIO FABRICA RACAO E SAL</t>
  </si>
  <si>
    <t>RATEIO OUTROS IMPLEMENTOS</t>
  </si>
  <si>
    <t>RATEIO TRATORES LEVES</t>
  </si>
  <si>
    <t>GRUPO_CONTABIL</t>
  </si>
  <si>
    <t>CONTA_CONTABIL</t>
  </si>
  <si>
    <t>4.1.01.11-CUSTOS RURAIS</t>
  </si>
  <si>
    <t>4.1.01.05-DEPRECIACOES, EXAUSTOES E AMORTIZACOES</t>
  </si>
  <si>
    <t>4.2.01.02-RATEIO DE CUSTOS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</si>
</sst>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44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0" fontId="2" fillId="0" borderId="0" xfId="1"/>
    <xf numFmtId="0" fontId="0" fillId="3" borderId="1" xfId="0" applyFill="1" applyBorder="1"/>
    <xf numFmtId="44" fontId="0" fillId="0" borderId="0" xfId="2" applyFont="1"/>
    <xf numFmtId="44" fontId="2" fillId="0" borderId="0" xfId="1" applyNumberFormat="1"/>
    <xf numFmtId="44" fontId="0" fillId="0" borderId="0" xfId="2" applyFont="1" applyAlignment="1">
      <alignment horizontal="center" vertical="center"/>
    </xf>
    <xf numFmtId="164" fontId="2" fillId="0" borderId="0" xfId="1" applyNumberFormat="1"/>
    <xf numFmtId="164" fontId="4" fillId="4" borderId="0" xfId="1" applyNumberFormat="1" applyFont="1" applyFill="1"/>
    <xf numFmtId="0" fontId="1" fillId="0" borderId="0" xfId="3"/>
    <xf numFmtId="0" fontId="3" fillId="2" borderId="3" xfId="3" applyFont="1" applyFill="1" applyBorder="1" applyAlignment="1">
      <alignment horizontal="left"/>
    </xf>
    <xf numFmtId="17" fontId="5" fillId="0" borderId="4" xfId="0" applyNumberFormat="1" applyFont="1" applyBorder="1" applyAlignment="1">
      <alignment horizontal="center" vertical="center"/>
    </xf>
    <xf numFmtId="4" fontId="0" fillId="3" borderId="0" xfId="2" applyNumberFormat="1" applyFont="1" applyFill="1" applyBorder="1"/>
    <xf numFmtId="4" fontId="4" fillId="3" borderId="2" xfId="2" applyNumberFormat="1" applyFont="1" applyFill="1" applyBorder="1"/>
    <xf numFmtId="4" fontId="4" fillId="3" borderId="0" xfId="2" applyNumberFormat="1" applyFont="1" applyFill="1"/>
  </cellXfs>
  <cellStyles count="4">
    <cellStyle name="Moeda 3" xfId="2" xr:uid="{85C5AB30-6EA9-4DC1-B710-5017D5EF85D3}"/>
    <cellStyle name="Normal" xfId="0" builtinId="0"/>
    <cellStyle name="Normal 2" xfId="3" xr:uid="{75313BD0-DF93-4292-9BE9-EA7E75B112D3}"/>
    <cellStyle name="Normal 3" xfId="1" xr:uid="{176EA39A-657E-4F50-A6D3-4065B2594382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BFD4D-9367-4ABA-A2CB-57DBDDF32468}">
  <sheetPr>
    <tabColor rgb="FFFF0000"/>
  </sheetPr>
  <dimension ref="A1:O20"/>
  <sheetViews>
    <sheetView tabSelected="1" zoomScale="90" zoomScaleNormal="90" workbookViewId="0">
      <pane ySplit="1" topLeftCell="A2" activePane="bottomLeft" state="frozen"/>
      <selection pane="bottomLeft" activeCell="D3" sqref="D3"/>
    </sheetView>
  </sheetViews>
  <sheetFormatPr defaultColWidth="8.88671875" defaultRowHeight="14.4" x14ac:dyDescent="0.3"/>
  <cols>
    <col min="1" max="1" width="50.44140625" style="1" bestFit="1" customWidth="1"/>
    <col min="2" max="2" width="16.77734375" style="1" bestFit="1" customWidth="1"/>
    <col min="3" max="3" width="29.88671875" style="1" bestFit="1" customWidth="1"/>
    <col min="4" max="6" width="8.109375" style="1" bestFit="1" customWidth="1"/>
    <col min="7" max="7" width="12.21875" style="1" bestFit="1" customWidth="1"/>
    <col min="8" max="8" width="8.109375" style="1" bestFit="1" customWidth="1"/>
    <col min="9" max="10" width="9.109375" style="1" bestFit="1" customWidth="1"/>
    <col min="11" max="11" width="12.21875" style="1" bestFit="1" customWidth="1"/>
    <col min="12" max="12" width="9.109375" style="1" bestFit="1" customWidth="1"/>
    <col min="13" max="13" width="10.109375" style="1" bestFit="1" customWidth="1"/>
    <col min="14" max="14" width="12.21875" style="1" bestFit="1" customWidth="1"/>
    <col min="15" max="15" width="10.109375" style="1" bestFit="1" customWidth="1"/>
    <col min="16" max="16384" width="8.88671875" style="1"/>
  </cols>
  <sheetData>
    <row r="1" spans="1:15" x14ac:dyDescent="0.3">
      <c r="A1" s="8" t="s">
        <v>7</v>
      </c>
      <c r="B1" s="8" t="s">
        <v>8</v>
      </c>
      <c r="C1" s="9" t="s">
        <v>0</v>
      </c>
      <c r="D1" s="10">
        <v>46113</v>
      </c>
      <c r="E1" s="10">
        <v>46143</v>
      </c>
      <c r="F1" s="10">
        <v>46174</v>
      </c>
      <c r="G1" s="10">
        <v>46204</v>
      </c>
      <c r="H1" s="10">
        <v>46235</v>
      </c>
      <c r="I1" s="10">
        <v>46266</v>
      </c>
      <c r="J1" s="10">
        <v>46296</v>
      </c>
      <c r="K1" s="10">
        <v>46327</v>
      </c>
      <c r="L1" s="10">
        <v>46357</v>
      </c>
      <c r="M1" s="10">
        <v>46388</v>
      </c>
      <c r="N1" s="10">
        <v>46419</v>
      </c>
      <c r="O1" s="10">
        <v>46447</v>
      </c>
    </row>
    <row r="2" spans="1:15" x14ac:dyDescent="0.3">
      <c r="A2" s="8" t="s">
        <v>9</v>
      </c>
      <c r="B2" s="8"/>
      <c r="C2" s="2" t="s">
        <v>1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16707.785512499999</v>
      </c>
      <c r="L2" s="11">
        <v>95413.147700000001</v>
      </c>
      <c r="M2" s="11">
        <v>110092.09350000003</v>
      </c>
      <c r="N2" s="11">
        <v>138154.78400000001</v>
      </c>
      <c r="O2" s="11">
        <v>142472.12100000001</v>
      </c>
    </row>
    <row r="3" spans="1:15" x14ac:dyDescent="0.3">
      <c r="A3" s="8" t="s">
        <v>10</v>
      </c>
      <c r="C3" s="2" t="s">
        <v>2</v>
      </c>
      <c r="D3" s="11">
        <v>7000</v>
      </c>
      <c r="E3" s="11">
        <v>7000</v>
      </c>
      <c r="F3" s="11">
        <v>7000</v>
      </c>
      <c r="G3" s="11">
        <v>7000</v>
      </c>
      <c r="H3" s="11">
        <v>7000</v>
      </c>
      <c r="I3" s="11">
        <v>7000</v>
      </c>
      <c r="J3" s="11">
        <v>7000</v>
      </c>
      <c r="K3" s="11">
        <v>7000</v>
      </c>
      <c r="L3" s="11">
        <v>7000</v>
      </c>
      <c r="M3" s="11">
        <v>7000</v>
      </c>
      <c r="N3" s="11">
        <v>7000</v>
      </c>
      <c r="O3" s="11">
        <v>7000</v>
      </c>
    </row>
    <row r="4" spans="1:15" x14ac:dyDescent="0.3">
      <c r="A4" s="8" t="s">
        <v>9</v>
      </c>
      <c r="B4"/>
      <c r="C4" s="2" t="s">
        <v>3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15000</v>
      </c>
      <c r="J4" s="11">
        <v>15000</v>
      </c>
      <c r="K4" s="11">
        <v>15000</v>
      </c>
      <c r="L4" s="11">
        <v>0</v>
      </c>
      <c r="M4" s="11">
        <v>0</v>
      </c>
      <c r="N4" s="11">
        <v>0</v>
      </c>
      <c r="O4" s="11">
        <v>0</v>
      </c>
    </row>
    <row r="5" spans="1:15" x14ac:dyDescent="0.3">
      <c r="A5" s="8" t="s">
        <v>11</v>
      </c>
      <c r="B5" s="8"/>
      <c r="C5" s="2" t="s">
        <v>4</v>
      </c>
      <c r="D5" s="11">
        <v>1402.3538999999998</v>
      </c>
      <c r="E5" s="11">
        <v>1731.2230810000003</v>
      </c>
      <c r="F5" s="11">
        <v>2054.7227790000002</v>
      </c>
      <c r="G5" s="11">
        <v>2259.7502795000005</v>
      </c>
      <c r="H5" s="11">
        <v>2224.4661709999996</v>
      </c>
      <c r="I5" s="11">
        <v>2276.6608210000004</v>
      </c>
      <c r="J5" s="11">
        <v>2559.6076140000005</v>
      </c>
      <c r="K5" s="11">
        <v>2027.1407770000001</v>
      </c>
      <c r="L5" s="11">
        <v>1515.9407755000004</v>
      </c>
      <c r="M5" s="11">
        <v>1514.2832310000003</v>
      </c>
      <c r="N5" s="11">
        <v>1292.6728860000001</v>
      </c>
      <c r="O5" s="11">
        <v>1845.9932909999998</v>
      </c>
    </row>
    <row r="6" spans="1:15" x14ac:dyDescent="0.3">
      <c r="A6" s="8" t="s">
        <v>11</v>
      </c>
      <c r="B6" s="8"/>
      <c r="C6" s="2" t="s">
        <v>5</v>
      </c>
      <c r="D6" s="11">
        <v>1500</v>
      </c>
      <c r="E6" s="11">
        <v>1500</v>
      </c>
      <c r="F6" s="11">
        <v>1500</v>
      </c>
      <c r="G6" s="11">
        <v>1500</v>
      </c>
      <c r="H6" s="11">
        <v>1500</v>
      </c>
      <c r="I6" s="11">
        <v>1500</v>
      </c>
      <c r="J6" s="11">
        <v>1500</v>
      </c>
      <c r="K6" s="11">
        <v>1500</v>
      </c>
      <c r="L6" s="11">
        <v>1500</v>
      </c>
      <c r="M6" s="11">
        <v>1500</v>
      </c>
      <c r="N6" s="11">
        <v>1500</v>
      </c>
      <c r="O6" s="11">
        <v>1500</v>
      </c>
    </row>
    <row r="7" spans="1:15" x14ac:dyDescent="0.3">
      <c r="A7" s="8" t="s">
        <v>11</v>
      </c>
      <c r="B7" s="8"/>
      <c r="C7" s="2" t="s">
        <v>6</v>
      </c>
      <c r="D7" s="12">
        <v>0</v>
      </c>
      <c r="E7" s="13">
        <v>0</v>
      </c>
      <c r="F7" s="13">
        <v>0</v>
      </c>
      <c r="G7" s="13">
        <v>0</v>
      </c>
      <c r="H7" s="13">
        <v>0</v>
      </c>
      <c r="I7" s="13">
        <v>1600</v>
      </c>
      <c r="J7" s="13">
        <v>1600</v>
      </c>
      <c r="K7" s="13">
        <v>1600</v>
      </c>
      <c r="L7" s="13">
        <v>600</v>
      </c>
      <c r="M7" s="13">
        <v>600</v>
      </c>
      <c r="N7" s="13">
        <v>600</v>
      </c>
      <c r="O7" s="13">
        <v>600</v>
      </c>
    </row>
    <row r="9" spans="1:15" x14ac:dyDescent="0.3">
      <c r="D9" s="5"/>
      <c r="E9" s="5"/>
      <c r="F9" s="5"/>
      <c r="G9" s="5"/>
      <c r="I9" s="6"/>
      <c r="J9" s="6"/>
      <c r="K9" s="6"/>
      <c r="L9" s="6"/>
      <c r="M9" s="6"/>
      <c r="N9" s="6"/>
      <c r="O9" s="6"/>
    </row>
    <row r="10" spans="1:15" hidden="1" x14ac:dyDescent="0.3">
      <c r="D10" s="7">
        <v>0</v>
      </c>
      <c r="E10" s="7">
        <v>0</v>
      </c>
      <c r="F10" s="7">
        <v>0</v>
      </c>
      <c r="G10" s="7">
        <v>2052.96</v>
      </c>
      <c r="H10" s="7">
        <v>0</v>
      </c>
      <c r="I10" s="7">
        <v>0</v>
      </c>
      <c r="J10" s="7">
        <v>0</v>
      </c>
      <c r="K10" s="7">
        <v>9139.52</v>
      </c>
      <c r="L10" s="7">
        <v>0</v>
      </c>
      <c r="M10" s="7">
        <v>0</v>
      </c>
      <c r="N10" s="7">
        <v>2579.2000000000003</v>
      </c>
      <c r="O10" s="7">
        <v>0</v>
      </c>
    </row>
    <row r="11" spans="1:15" hidden="1" x14ac:dyDescent="0.3">
      <c r="D11" s="5">
        <f>(D10*5%)+D10</f>
        <v>0</v>
      </c>
      <c r="E11" s="5">
        <f t="shared" ref="E11:O11" si="0">(E10*5%)+E10</f>
        <v>0</v>
      </c>
      <c r="F11" s="5">
        <f t="shared" si="0"/>
        <v>0</v>
      </c>
      <c r="G11" s="5">
        <f t="shared" si="0"/>
        <v>2155.6080000000002</v>
      </c>
      <c r="H11" s="5">
        <f t="shared" si="0"/>
        <v>0</v>
      </c>
      <c r="I11" s="5">
        <f t="shared" si="0"/>
        <v>0</v>
      </c>
      <c r="J11" s="5">
        <f t="shared" si="0"/>
        <v>0</v>
      </c>
      <c r="K11" s="5">
        <f t="shared" si="0"/>
        <v>9596.496000000001</v>
      </c>
      <c r="L11" s="5">
        <f t="shared" si="0"/>
        <v>0</v>
      </c>
      <c r="M11" s="5">
        <f t="shared" si="0"/>
        <v>0</v>
      </c>
      <c r="N11" s="5">
        <f t="shared" si="0"/>
        <v>2708.1600000000003</v>
      </c>
      <c r="O11" s="5">
        <f t="shared" si="0"/>
        <v>0</v>
      </c>
    </row>
    <row r="12" spans="1:15" x14ac:dyDescent="0.3">
      <c r="D12" s="3"/>
      <c r="E12" s="4"/>
      <c r="F12" s="4"/>
    </row>
    <row r="13" spans="1:15" x14ac:dyDescent="0.3">
      <c r="D13" s="3"/>
      <c r="E13" s="4"/>
      <c r="F13" s="4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3">
      <c r="D14" s="3"/>
      <c r="E14" s="4"/>
      <c r="F14" s="4"/>
      <c r="G14" s="6"/>
      <c r="H14" s="6"/>
      <c r="I14" s="6"/>
      <c r="J14" s="6"/>
      <c r="K14" s="6"/>
      <c r="L14" s="6"/>
      <c r="M14" s="6"/>
      <c r="N14" s="6"/>
      <c r="O14" s="6"/>
    </row>
    <row r="20" spans="4:6" x14ac:dyDescent="0.3">
      <c r="D20" s="3"/>
      <c r="E20" s="4"/>
      <c r="F20" s="4"/>
    </row>
  </sheetData>
  <conditionalFormatting sqref="C2:C7">
    <cfRule type="duplicateValues" dxfId="0" priority="1"/>
  </conditionalFormatting>
  <pageMargins left="0.23622047244094491" right="0.23622047244094491" top="0.74803149606299213" bottom="0.74803149606299213" header="0.31496062992125984" footer="0.31496062992125984"/>
  <pageSetup paperSize="9" scale="65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GOTEJO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2026-05-15T12:07:26Z</dcterms:created>
  <dcterms:modified xsi:type="dcterms:W3CDTF">2026-05-15T13:43:41Z</dcterms:modified>
</cp:coreProperties>
</file>