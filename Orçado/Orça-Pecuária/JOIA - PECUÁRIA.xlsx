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enrique.santos\orcamento2027\budgetflow-insights\Orçado\Orça-Pecuária\"/>
    </mc:Choice>
  </mc:AlternateContent>
  <xr:revisionPtr revIDLastSave="0" documentId="13_ncr:1_{6EB4BC32-3CB3-471D-91C3-12B862164F5A}" xr6:coauthVersionLast="47" xr6:coauthVersionMax="47" xr10:uidLastSave="{00000000-0000-0000-0000-000000000000}"/>
  <bookViews>
    <workbookView xWindow="-108" yWindow="-108" windowWidth="23256" windowHeight="12456" xr2:uid="{71719C78-F8CA-4FAD-8CAF-576BD048F763}"/>
  </bookViews>
  <sheets>
    <sheet name="JOIA" sheetId="1" r:id="rId1"/>
  </sheets>
  <definedNames>
    <definedName name="_xlnm._FilterDatabase" localSheetId="0" hidden="1">JOIA!$A$1:$O$55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32" i="1" l="1"/>
  <c r="J6" i="1"/>
  <c r="J10" i="1"/>
</calcChain>
</file>

<file path=xl/sharedStrings.xml><?xml version="1.0" encoding="utf-8"?>
<sst xmlns="http://schemas.openxmlformats.org/spreadsheetml/2006/main" count="157" uniqueCount="109">
  <si>
    <t>Descrição C. Contábil</t>
  </si>
  <si>
    <t>ALIMENTAÇÃO ANIMAL</t>
  </si>
  <si>
    <t>CUSTO PESSOAL</t>
  </si>
  <si>
    <t>DEPRECIACOES</t>
  </si>
  <si>
    <t>FRETES E CARRETOS PJ</t>
  </si>
  <si>
    <t>SERVICOS DE TERCEIROS PJ</t>
  </si>
  <si>
    <t>RATEIO VEICULOS PESADOS</t>
  </si>
  <si>
    <t>HERBICIDAS E DEFENSIVOS</t>
  </si>
  <si>
    <t>RATEIO SUPERVISAO PECUARIA</t>
  </si>
  <si>
    <t>FERTILIZANTES</t>
  </si>
  <si>
    <t>RATEIO OUTROS IMPLEMENTOS</t>
  </si>
  <si>
    <t>RATEIO TRATORES MEDIOS</t>
  </si>
  <si>
    <t>MEDICAMENTOS</t>
  </si>
  <si>
    <t>RATEIO TRATORES LEVES</t>
  </si>
  <si>
    <t>RATEIO FABRICA RACAO E SAL</t>
  </si>
  <si>
    <t>LOCACOES DE AREAS PECUARIAS</t>
  </si>
  <si>
    <t>RATEIO TRATORES PESADOS</t>
  </si>
  <si>
    <t>RATEIO CERQUEIROS</t>
  </si>
  <si>
    <t>VACINAS</t>
  </si>
  <si>
    <t>RATEIO VEICULOS LEVES</t>
  </si>
  <si>
    <t>RATEIO VEICULOS MEDIOS</t>
  </si>
  <si>
    <t>RATEIO RECEBIDO</t>
  </si>
  <si>
    <t>LANCHES E REFEICOES</t>
  </si>
  <si>
    <t>RATEIO REBOQUE</t>
  </si>
  <si>
    <t>COMBUSTIVEIS E LUBRIFICANTES</t>
  </si>
  <si>
    <t>RATEIO TRATORES DE ESTEIRA</t>
  </si>
  <si>
    <t>ENERGIA ELETRICA</t>
  </si>
  <si>
    <t>RATEIO PA CARREGADEIRAS</t>
  </si>
  <si>
    <t>PECAS, ACESSORIOS E MATERIAIS</t>
  </si>
  <si>
    <t>TAXAS E ANUIDADES</t>
  </si>
  <si>
    <t>MATERIAIS PARA MANUTENCAO E REFORMA</t>
  </si>
  <si>
    <t>FERRAMENTAS DE TRABALHO</t>
  </si>
  <si>
    <t>RATEIO CARRETAS AGRICOLAS</t>
  </si>
  <si>
    <t>RATEIO CONFRATERNIZACOES E EVENTOS COM C</t>
  </si>
  <si>
    <t>RATEIO PROJETOS DESENVOLVIMENTO HUMANO</t>
  </si>
  <si>
    <t>MATERIAIS DE CONSERVACAO E LIMPEZA</t>
  </si>
  <si>
    <t>EQUIPAMENTOS DE SEGURANCA NO TRABALHO</t>
  </si>
  <si>
    <t>RATEIO SEMEADORAS</t>
  </si>
  <si>
    <t>OUTROS CUSTOS OPERACIONAIS</t>
  </si>
  <si>
    <t>RATEIO MEDICINA E SEGURANCA DO TRABALHO</t>
  </si>
  <si>
    <t>REFEICOES E ESTADIAS</t>
  </si>
  <si>
    <t>RATEIO TRANSPORTE LEVES ADMINITRACAO</t>
  </si>
  <si>
    <t>RATEIO ROCADEIRAS</t>
  </si>
  <si>
    <t>RATEIO OFICINA</t>
  </si>
  <si>
    <t>RATEIO CARRETAS TANQUE</t>
  </si>
  <si>
    <t>LOCACOES DE MAQUINAS E EQUIPAMENTOS</t>
  </si>
  <si>
    <t>CURSOS DE TREINAMENTO</t>
  </si>
  <si>
    <t>MATERIAIS DE INSEMINACAO</t>
  </si>
  <si>
    <t>RATEIO PROGRAMA DE INTEGRIDADE</t>
  </si>
  <si>
    <t>IMPRESSOS E MATERIAIS DE EXPEDIENTE</t>
  </si>
  <si>
    <t>CONTRIBUICOES E DOACOES</t>
  </si>
  <si>
    <t>RATEIO GUINCHOS</t>
  </si>
  <si>
    <t>OUTRAS DESPESAS DE VIAGENS</t>
  </si>
  <si>
    <t>PNEUS E CAMARAS</t>
  </si>
  <si>
    <t>4.2.01.02.0038</t>
  </si>
  <si>
    <t>4.2.01.02.0042</t>
  </si>
  <si>
    <t>4.2.01.02.0052</t>
  </si>
  <si>
    <t>4.1.01.11.0003</t>
  </si>
  <si>
    <t>4.2.01.02.0035</t>
  </si>
  <si>
    <t>4.2.01.02.0044</t>
  </si>
  <si>
    <t>4.1.01.11.0002</t>
  </si>
  <si>
    <t>4.2.01.02.0037</t>
  </si>
  <si>
    <t>4.1.01.21.0012</t>
  </si>
  <si>
    <t>4.2.01.02.0039</t>
  </si>
  <si>
    <t>4.1.01.04.0001</t>
  </si>
  <si>
    <t>4.1.01.04.0002</t>
  </si>
  <si>
    <t>4.1.01.21.0013</t>
  </si>
  <si>
    <t>4.1.01.04.0003</t>
  </si>
  <si>
    <t>4.2.01.02.0034</t>
  </si>
  <si>
    <t>4.2.01.02.0017</t>
  </si>
  <si>
    <t>4.2.01.02.0066</t>
  </si>
  <si>
    <t>4.1.01.04.0005</t>
  </si>
  <si>
    <t>4.1.01.21.0002</t>
  </si>
  <si>
    <t>4.2.01.02.0018</t>
  </si>
  <si>
    <t>4.2.01.02.0019</t>
  </si>
  <si>
    <t>4.2.01.02.0064</t>
  </si>
  <si>
    <t>4.1.01.04.0007</t>
  </si>
  <si>
    <t>4.1.01.11-CUSTOS RURAIS</t>
  </si>
  <si>
    <t>4.1.01.11.0001</t>
  </si>
  <si>
    <t>4.1.01.01-CUSTO DE PESSOAL</t>
  </si>
  <si>
    <t>4.1.01.02.0004</t>
  </si>
  <si>
    <t>4.1.01.11.0019</t>
  </si>
  <si>
    <t>4.1.01.11.0017</t>
  </si>
  <si>
    <t>4.2.01.02.0036</t>
  </si>
  <si>
    <t>4.1.01.03.0005</t>
  </si>
  <si>
    <t>4.2.01.02.0030</t>
  </si>
  <si>
    <t>4.2.01.02.0010</t>
  </si>
  <si>
    <t>4.2.01.02.0021</t>
  </si>
  <si>
    <t>4.2.01.02.0001</t>
  </si>
  <si>
    <t>4.2.01.02.0061</t>
  </si>
  <si>
    <t>4.2.01.02.0046</t>
  </si>
  <si>
    <t>4.2.01.02.0048</t>
  </si>
  <si>
    <t>4.2.01.02.0033</t>
  </si>
  <si>
    <t>4.2.01.02.0024</t>
  </si>
  <si>
    <t>4.2.01.02.0045</t>
  </si>
  <si>
    <t>4.1.01.03.0010</t>
  </si>
  <si>
    <t>4.1.01.21.0004</t>
  </si>
  <si>
    <t>4.1.01.11.0004</t>
  </si>
  <si>
    <t>4.1.01.04.0004</t>
  </si>
  <si>
    <t>4.1.01.21.0003</t>
  </si>
  <si>
    <t>4.2.01.02.0057</t>
  </si>
  <si>
    <t>4.1.01.05-DEPRECIACOES, EXAUSTOES E AMORTIZACOES</t>
  </si>
  <si>
    <t>4.2.01.02-RATEIO DE CUSTOS</t>
  </si>
  <si>
    <t>4.1.01.21-OUTROS CUSTOS OPERACIONAIS</t>
  </si>
  <si>
    <t>4.1.01.04-MANUTENCAO E CONSERVACAO DE BENS</t>
  </si>
  <si>
    <t>4.1.01.02-SERVICOS DE TERCEIROS</t>
  </si>
  <si>
    <t>GRUPO_CONTABIL</t>
  </si>
  <si>
    <t>CONTA_CONTABIL</t>
  </si>
  <si>
    <t>4.1.01.03-LOCACOES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</si>
</sst>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64"/>
      </right>
      <top style="thin">
        <color indexed="8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4" fontId="1" fillId="0" borderId="0" applyFon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3" fillId="2" borderId="1" xfId="1" applyFont="1" applyFill="1" applyBorder="1" applyAlignment="1">
      <alignment horizontal="left"/>
    </xf>
    <xf numFmtId="0" fontId="0" fillId="3" borderId="2" xfId="0" applyFill="1" applyBorder="1"/>
    <xf numFmtId="44" fontId="4" fillId="3" borderId="0" xfId="2" applyFont="1" applyFill="1" applyBorder="1"/>
    <xf numFmtId="44" fontId="4" fillId="3" borderId="0" xfId="2" applyFont="1" applyFill="1"/>
    <xf numFmtId="0" fontId="2" fillId="3" borderId="2" xfId="1" applyFill="1" applyBorder="1"/>
    <xf numFmtId="17" fontId="5" fillId="0" borderId="3" xfId="0" applyNumberFormat="1" applyFont="1" applyBorder="1" applyAlignment="1">
      <alignment horizontal="center" vertical="center"/>
    </xf>
    <xf numFmtId="0" fontId="1" fillId="0" borderId="0" xfId="1" applyFont="1"/>
    <xf numFmtId="4" fontId="4" fillId="3" borderId="0" xfId="2" applyNumberFormat="1" applyFont="1" applyFill="1" applyBorder="1"/>
    <xf numFmtId="4" fontId="4" fillId="3" borderId="0" xfId="2" applyNumberFormat="1" applyFont="1" applyFill="1"/>
    <xf numFmtId="4" fontId="0" fillId="3" borderId="0" xfId="2" applyNumberFormat="1" applyFont="1" applyFill="1"/>
  </cellXfs>
  <cellStyles count="3">
    <cellStyle name="Moeda 2" xfId="2" xr:uid="{0AF7BDE7-1DC1-43B6-97EC-A60BE219B8AB}"/>
    <cellStyle name="Normal" xfId="0" builtinId="0"/>
    <cellStyle name="Normal 2" xfId="1" xr:uid="{4565DCF4-9E49-477D-AF0A-9B7AF70D4F04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5B297-0AAD-4BCA-AF43-9D4C82530DE6}">
  <sheetPr>
    <tabColor rgb="FFFF0000"/>
  </sheetPr>
  <dimension ref="A1:O66"/>
  <sheetViews>
    <sheetView tabSelected="1" zoomScale="86" zoomScaleNormal="86" workbookViewId="0">
      <pane ySplit="1" topLeftCell="A2" activePane="bottomLeft" state="frozen"/>
      <selection activeCell="R1" sqref="R1:R1048576"/>
      <selection pane="bottomLeft" activeCell="C2" sqref="C2"/>
    </sheetView>
  </sheetViews>
  <sheetFormatPr defaultColWidth="8.88671875" defaultRowHeight="14.4" x14ac:dyDescent="0.3"/>
  <cols>
    <col min="1" max="1" width="52.44140625" style="1" customWidth="1"/>
    <col min="2" max="2" width="44.77734375" style="1" customWidth="1"/>
    <col min="3" max="3" width="47" style="1" bestFit="1" customWidth="1"/>
    <col min="4" max="9" width="16.44140625" style="1" bestFit="1" customWidth="1"/>
    <col min="10" max="12" width="16.44140625" style="1" customWidth="1"/>
    <col min="13" max="13" width="17.33203125" style="1" bestFit="1" customWidth="1"/>
    <col min="14" max="14" width="16.44140625" style="1" customWidth="1"/>
    <col min="15" max="15" width="16.88671875" style="1" bestFit="1" customWidth="1"/>
    <col min="16" max="16384" width="8.88671875" style="1"/>
  </cols>
  <sheetData>
    <row r="1" spans="1:15" x14ac:dyDescent="0.3">
      <c r="A1" s="1" t="s">
        <v>106</v>
      </c>
      <c r="B1" s="1" t="s">
        <v>107</v>
      </c>
      <c r="C1" s="2" t="s">
        <v>0</v>
      </c>
      <c r="D1" s="7">
        <v>46113</v>
      </c>
      <c r="E1" s="7">
        <v>46143</v>
      </c>
      <c r="F1" s="7">
        <v>46174</v>
      </c>
      <c r="G1" s="7">
        <v>46204</v>
      </c>
      <c r="H1" s="7">
        <v>46235</v>
      </c>
      <c r="I1" s="7">
        <v>46266</v>
      </c>
      <c r="J1" s="7">
        <v>46296</v>
      </c>
      <c r="K1" s="7">
        <v>46327</v>
      </c>
      <c r="L1" s="7">
        <v>46357</v>
      </c>
      <c r="M1" s="7">
        <v>46388</v>
      </c>
      <c r="N1" s="7">
        <v>46419</v>
      </c>
      <c r="O1" s="7">
        <v>46447</v>
      </c>
    </row>
    <row r="2" spans="1:15" x14ac:dyDescent="0.3">
      <c r="A2" s="1" t="s">
        <v>77</v>
      </c>
      <c r="B2" s="1" t="s">
        <v>78</v>
      </c>
      <c r="C2" s="3" t="s">
        <v>1</v>
      </c>
      <c r="D2" s="9">
        <v>286087.2311098646</v>
      </c>
      <c r="E2" s="9">
        <v>269788.04469423293</v>
      </c>
      <c r="F2" s="9">
        <v>222364.96730253921</v>
      </c>
      <c r="G2" s="9">
        <v>210262.14381700873</v>
      </c>
      <c r="H2" s="9">
        <v>189685.58350919618</v>
      </c>
      <c r="I2" s="9">
        <v>197796.12751035363</v>
      </c>
      <c r="J2" s="9">
        <v>234083.23402751278</v>
      </c>
      <c r="K2" s="9">
        <v>460538.23797462083</v>
      </c>
      <c r="L2" s="9">
        <v>715298.56498895702</v>
      </c>
      <c r="M2" s="9">
        <v>768778.96984835691</v>
      </c>
      <c r="N2" s="9">
        <v>608890.68335735705</v>
      </c>
      <c r="O2" s="9">
        <v>409847.15143085702</v>
      </c>
    </row>
    <row r="3" spans="1:15" x14ac:dyDescent="0.3">
      <c r="A3" t="s">
        <v>79</v>
      </c>
      <c r="C3" s="3" t="s">
        <v>2</v>
      </c>
      <c r="D3" s="9">
        <v>158037.57584999999</v>
      </c>
      <c r="E3" s="9">
        <v>165618.46564999997</v>
      </c>
      <c r="F3" s="9">
        <v>202522.43164999998</v>
      </c>
      <c r="G3" s="9">
        <v>128636.20825000001</v>
      </c>
      <c r="H3" s="9">
        <v>125408.62125</v>
      </c>
      <c r="I3" s="9">
        <v>130572.90675000001</v>
      </c>
      <c r="J3" s="9">
        <v>139121.42474999998</v>
      </c>
      <c r="K3" s="9">
        <v>171799.24354999998</v>
      </c>
      <c r="L3" s="9">
        <v>266738.16235</v>
      </c>
      <c r="M3" s="9">
        <v>282222.76335000002</v>
      </c>
      <c r="N3" s="9">
        <v>282572.35764999996</v>
      </c>
      <c r="O3" s="9">
        <v>161172.77439999999</v>
      </c>
    </row>
    <row r="4" spans="1:15" x14ac:dyDescent="0.3">
      <c r="A4" s="1" t="s">
        <v>101</v>
      </c>
      <c r="C4" s="3" t="s">
        <v>3</v>
      </c>
      <c r="D4" s="9">
        <v>61233.220000000038</v>
      </c>
      <c r="E4" s="10">
        <v>63811.830000000031</v>
      </c>
      <c r="F4" s="10">
        <v>62252.440000000031</v>
      </c>
      <c r="G4" s="10">
        <v>55346.500000000007</v>
      </c>
      <c r="H4" s="10">
        <v>56298.760000000046</v>
      </c>
      <c r="I4" s="10">
        <v>59622.939999999959</v>
      </c>
      <c r="J4" s="10">
        <v>55331.900000000067</v>
      </c>
      <c r="K4" s="10">
        <v>55599.500000000036</v>
      </c>
      <c r="L4" s="10">
        <v>51705.030000000035</v>
      </c>
      <c r="M4" s="10">
        <v>53540.920000000042</v>
      </c>
      <c r="N4" s="10">
        <v>67754.970000000016</v>
      </c>
      <c r="O4" s="10">
        <v>67339.930000000037</v>
      </c>
    </row>
    <row r="5" spans="1:15" x14ac:dyDescent="0.3">
      <c r="A5" t="s">
        <v>105</v>
      </c>
      <c r="B5" t="s">
        <v>80</v>
      </c>
      <c r="C5" s="3" t="s">
        <v>4</v>
      </c>
      <c r="D5" s="9">
        <v>125400</v>
      </c>
      <c r="E5" s="9">
        <v>52250</v>
      </c>
      <c r="F5" s="9">
        <v>20900</v>
      </c>
      <c r="G5" s="9">
        <v>15675</v>
      </c>
      <c r="H5" s="9">
        <v>10450</v>
      </c>
      <c r="I5" s="9">
        <v>20900</v>
      </c>
      <c r="J5" s="9">
        <v>31350</v>
      </c>
      <c r="K5" s="9">
        <v>52250</v>
      </c>
      <c r="L5" s="9">
        <v>104500</v>
      </c>
      <c r="M5" s="9">
        <v>94050</v>
      </c>
      <c r="N5" s="9">
        <v>135850</v>
      </c>
      <c r="O5" s="9">
        <v>62700</v>
      </c>
    </row>
    <row r="6" spans="1:15" x14ac:dyDescent="0.3">
      <c r="A6" t="s">
        <v>105</v>
      </c>
      <c r="C6" s="3" t="s">
        <v>5</v>
      </c>
      <c r="D6" s="9">
        <v>18810</v>
      </c>
      <c r="E6" s="10">
        <v>94050</v>
      </c>
      <c r="F6" s="10">
        <v>10450</v>
      </c>
      <c r="G6" s="10">
        <v>31350</v>
      </c>
      <c r="H6" s="10">
        <v>41800</v>
      </c>
      <c r="I6" s="10">
        <v>62700</v>
      </c>
      <c r="J6" s="10">
        <f>52250+15000</f>
        <v>67250</v>
      </c>
      <c r="K6" s="10">
        <v>99275</v>
      </c>
      <c r="L6" s="10">
        <v>73150</v>
      </c>
      <c r="M6" s="10">
        <v>62700</v>
      </c>
      <c r="N6" s="10">
        <v>83600</v>
      </c>
      <c r="O6" s="10">
        <v>26125</v>
      </c>
    </row>
    <row r="7" spans="1:15" x14ac:dyDescent="0.3">
      <c r="A7" s="1" t="s">
        <v>102</v>
      </c>
      <c r="B7" s="1" t="s">
        <v>54</v>
      </c>
      <c r="C7" s="3" t="s">
        <v>6</v>
      </c>
      <c r="D7" s="9">
        <v>35153.865999999995</v>
      </c>
      <c r="E7" s="10">
        <v>22975.969349999999</v>
      </c>
      <c r="F7" s="10">
        <v>65025.072699999997</v>
      </c>
      <c r="G7" s="10">
        <v>58062.790099999998</v>
      </c>
      <c r="H7" s="10">
        <v>69338.440199999997</v>
      </c>
      <c r="I7" s="10">
        <v>48733.889300000003</v>
      </c>
      <c r="J7" s="10">
        <v>34796.252650000002</v>
      </c>
      <c r="K7" s="10">
        <v>35406.475200000001</v>
      </c>
      <c r="L7" s="10">
        <v>59579.521399999998</v>
      </c>
      <c r="M7" s="10">
        <v>81934.496650000001</v>
      </c>
      <c r="N7" s="10">
        <v>109907.67395000001</v>
      </c>
      <c r="O7" s="10">
        <v>38662.342349999999</v>
      </c>
    </row>
    <row r="8" spans="1:15" x14ac:dyDescent="0.3">
      <c r="A8" s="1" t="s">
        <v>77</v>
      </c>
      <c r="B8" t="s">
        <v>81</v>
      </c>
      <c r="C8" s="3" t="s">
        <v>7</v>
      </c>
      <c r="D8" s="9">
        <v>20900</v>
      </c>
      <c r="E8" s="9">
        <v>2090</v>
      </c>
      <c r="F8" s="9">
        <v>209</v>
      </c>
      <c r="G8" s="9">
        <v>209</v>
      </c>
      <c r="H8" s="9">
        <v>522.5</v>
      </c>
      <c r="I8" s="9">
        <v>522.5</v>
      </c>
      <c r="J8" s="9">
        <v>10450</v>
      </c>
      <c r="K8" s="9">
        <v>52250</v>
      </c>
      <c r="L8" s="9">
        <v>111815</v>
      </c>
      <c r="M8" s="9">
        <v>156750</v>
      </c>
      <c r="N8" s="9">
        <v>125400</v>
      </c>
      <c r="O8" s="9">
        <v>146300</v>
      </c>
    </row>
    <row r="9" spans="1:15" x14ac:dyDescent="0.3">
      <c r="A9" s="1" t="s">
        <v>102</v>
      </c>
      <c r="B9" s="1" t="s">
        <v>55</v>
      </c>
      <c r="C9" s="3" t="s">
        <v>8</v>
      </c>
      <c r="D9" s="9">
        <v>61413.74020879998</v>
      </c>
      <c r="E9" s="10">
        <v>45803.349734799995</v>
      </c>
      <c r="F9" s="10">
        <v>114609.30836320003</v>
      </c>
      <c r="G9" s="10">
        <v>39939.483093999988</v>
      </c>
      <c r="H9" s="10">
        <v>46811.604100800003</v>
      </c>
      <c r="I9" s="10">
        <v>45475.982613599997</v>
      </c>
      <c r="J9" s="10">
        <v>54846.181493600001</v>
      </c>
      <c r="K9" s="10">
        <v>35138.836983600006</v>
      </c>
      <c r="L9" s="10">
        <v>41806.519269199998</v>
      </c>
      <c r="M9" s="10">
        <v>55953.2502676</v>
      </c>
      <c r="N9" s="10">
        <v>58563.944852000022</v>
      </c>
      <c r="O9" s="10">
        <v>61884.39092640001</v>
      </c>
    </row>
    <row r="10" spans="1:15" x14ac:dyDescent="0.3">
      <c r="A10" s="1" t="s">
        <v>77</v>
      </c>
      <c r="B10" t="s">
        <v>82</v>
      </c>
      <c r="C10" s="3" t="s">
        <v>9</v>
      </c>
      <c r="D10" s="9">
        <v>0</v>
      </c>
      <c r="E10" s="10">
        <v>0</v>
      </c>
      <c r="F10" s="10">
        <v>0</v>
      </c>
      <c r="G10" s="10">
        <v>0</v>
      </c>
      <c r="H10" s="10">
        <v>0</v>
      </c>
      <c r="I10" s="10">
        <v>52250</v>
      </c>
      <c r="J10" s="10">
        <f>156750-83000</f>
        <v>73750</v>
      </c>
      <c r="K10" s="10">
        <v>104500</v>
      </c>
      <c r="L10" s="10">
        <v>104500</v>
      </c>
      <c r="M10" s="10">
        <v>52250</v>
      </c>
      <c r="N10" s="10">
        <v>0</v>
      </c>
      <c r="O10" s="10">
        <v>0</v>
      </c>
    </row>
    <row r="11" spans="1:15" x14ac:dyDescent="0.3">
      <c r="A11" s="1" t="s">
        <v>77</v>
      </c>
      <c r="B11" s="1" t="s">
        <v>78</v>
      </c>
      <c r="C11" s="3" t="s">
        <v>1</v>
      </c>
      <c r="D11" s="9">
        <v>27797.704999999994</v>
      </c>
      <c r="E11" s="10">
        <v>35529.366200000004</v>
      </c>
      <c r="F11" s="10">
        <v>54377.332199999997</v>
      </c>
      <c r="G11" s="10">
        <v>37467.533799999997</v>
      </c>
      <c r="H11" s="10">
        <v>38252.580399999999</v>
      </c>
      <c r="I11" s="10">
        <v>43234.813599999994</v>
      </c>
      <c r="J11" s="10">
        <v>52093.074599999985</v>
      </c>
      <c r="K11" s="10">
        <v>47431.427800000005</v>
      </c>
      <c r="L11" s="10">
        <v>33766.935999999994</v>
      </c>
      <c r="M11" s="10">
        <v>35181.325799999991</v>
      </c>
      <c r="N11" s="10">
        <v>28350.675200000001</v>
      </c>
      <c r="O11" s="10">
        <v>28360.352999999999</v>
      </c>
    </row>
    <row r="12" spans="1:15" x14ac:dyDescent="0.3">
      <c r="A12" s="1" t="s">
        <v>102</v>
      </c>
      <c r="B12" s="1" t="s">
        <v>56</v>
      </c>
      <c r="C12" s="3" t="s">
        <v>10</v>
      </c>
      <c r="D12" s="9">
        <v>25612.824599999996</v>
      </c>
      <c r="E12" s="10">
        <v>56195.972250000006</v>
      </c>
      <c r="F12" s="10">
        <v>28329.730549999997</v>
      </c>
      <c r="G12" s="10">
        <v>22067.369499999997</v>
      </c>
      <c r="H12" s="10">
        <v>30867.105499999998</v>
      </c>
      <c r="I12" s="10">
        <v>34393.280350000001</v>
      </c>
      <c r="J12" s="10">
        <v>39230.961549999993</v>
      </c>
      <c r="K12" s="10">
        <v>47523.883000000002</v>
      </c>
      <c r="L12" s="10">
        <v>41735.617550000003</v>
      </c>
      <c r="M12" s="10">
        <v>24357.225749999998</v>
      </c>
      <c r="N12" s="10">
        <v>32182.906800000001</v>
      </c>
      <c r="O12" s="10">
        <v>65455.759049999993</v>
      </c>
    </row>
    <row r="13" spans="1:15" x14ac:dyDescent="0.3">
      <c r="A13" s="1" t="s">
        <v>102</v>
      </c>
      <c r="B13" t="s">
        <v>83</v>
      </c>
      <c r="C13" s="3" t="s">
        <v>11</v>
      </c>
      <c r="D13" s="9">
        <v>30356.184099999995</v>
      </c>
      <c r="E13" s="10">
        <v>52054.835800000001</v>
      </c>
      <c r="F13" s="10">
        <v>23533.525400000002</v>
      </c>
      <c r="G13" s="10">
        <v>31350</v>
      </c>
      <c r="H13" s="10">
        <v>26125</v>
      </c>
      <c r="I13" s="10">
        <v>32428.847549999999</v>
      </c>
      <c r="J13" s="10">
        <v>13603.914499999999</v>
      </c>
      <c r="K13" s="10">
        <v>30356.016899999999</v>
      </c>
      <c r="L13" s="10">
        <v>28183.3783</v>
      </c>
      <c r="M13" s="10">
        <v>61168.928700000004</v>
      </c>
      <c r="N13" s="10">
        <v>64575.388350000008</v>
      </c>
      <c r="O13" s="10">
        <v>38472.949899999992</v>
      </c>
    </row>
    <row r="14" spans="1:15" x14ac:dyDescent="0.3">
      <c r="A14" s="1" t="s">
        <v>77</v>
      </c>
      <c r="B14" s="1" t="s">
        <v>57</v>
      </c>
      <c r="C14" s="3" t="s">
        <v>12</v>
      </c>
      <c r="D14" s="9">
        <v>33424.147349999999</v>
      </c>
      <c r="E14" s="10">
        <v>61233.41565000001</v>
      </c>
      <c r="F14" s="10">
        <v>9622.1196499999987</v>
      </c>
      <c r="G14" s="10">
        <v>2785.2698500000001</v>
      </c>
      <c r="H14" s="10">
        <v>20650.088250000004</v>
      </c>
      <c r="I14" s="10">
        <v>40052.42560000001</v>
      </c>
      <c r="J14" s="10">
        <v>44188.598300000005</v>
      </c>
      <c r="K14" s="10">
        <v>63679.959199999998</v>
      </c>
      <c r="L14" s="10">
        <v>74458.120550000007</v>
      </c>
      <c r="M14" s="10">
        <v>31487.083100000003</v>
      </c>
      <c r="N14" s="10">
        <v>15302.405250000005</v>
      </c>
      <c r="O14" s="10">
        <v>32053.347700000006</v>
      </c>
    </row>
    <row r="15" spans="1:15" x14ac:dyDescent="0.3">
      <c r="A15" s="1" t="s">
        <v>102</v>
      </c>
      <c r="B15" s="1" t="s">
        <v>58</v>
      </c>
      <c r="C15" s="3" t="s">
        <v>13</v>
      </c>
      <c r="D15" s="9">
        <v>43556.449399999998</v>
      </c>
      <c r="E15" s="10">
        <v>28479.168399999999</v>
      </c>
      <c r="F15" s="10">
        <v>35173.057800000002</v>
      </c>
      <c r="G15" s="10">
        <v>17759.494400000003</v>
      </c>
      <c r="H15" s="10">
        <v>17269.657800000001</v>
      </c>
      <c r="I15" s="10">
        <v>24675.114600000001</v>
      </c>
      <c r="J15" s="10">
        <v>18541.933399999998</v>
      </c>
      <c r="K15" s="10">
        <v>42530.369399999996</v>
      </c>
      <c r="L15" s="10">
        <v>18587.502800000002</v>
      </c>
      <c r="M15" s="10">
        <v>43586.67</v>
      </c>
      <c r="N15" s="10">
        <v>67070.620200000005</v>
      </c>
      <c r="O15" s="10">
        <v>63906.445999999996</v>
      </c>
    </row>
    <row r="16" spans="1:15" x14ac:dyDescent="0.3">
      <c r="A16" s="1" t="s">
        <v>102</v>
      </c>
      <c r="B16" s="1" t="s">
        <v>59</v>
      </c>
      <c r="C16" s="3" t="s">
        <v>14</v>
      </c>
      <c r="D16" s="9">
        <v>15460.951747499999</v>
      </c>
      <c r="E16" s="10">
        <v>19086.734468025003</v>
      </c>
      <c r="F16" s="10">
        <v>22653.318638475001</v>
      </c>
      <c r="G16" s="10">
        <v>24913.746831487504</v>
      </c>
      <c r="H16" s="10">
        <v>24524.739535274999</v>
      </c>
      <c r="I16" s="10">
        <v>25100.185551525003</v>
      </c>
      <c r="J16" s="10">
        <v>28219.673944350005</v>
      </c>
      <c r="K16" s="10">
        <v>22349.227066424999</v>
      </c>
      <c r="L16" s="10">
        <v>16713.247049887505</v>
      </c>
      <c r="M16" s="10">
        <v>16694.972621775003</v>
      </c>
      <c r="N16" s="10">
        <v>14251.71856815</v>
      </c>
      <c r="O16" s="10">
        <v>20352.076033274996</v>
      </c>
    </row>
    <row r="17" spans="1:15" x14ac:dyDescent="0.3">
      <c r="A17" s="8" t="s">
        <v>108</v>
      </c>
      <c r="B17" t="s">
        <v>84</v>
      </c>
      <c r="C17" s="3" t="s">
        <v>15</v>
      </c>
      <c r="D17" s="9">
        <v>20900</v>
      </c>
      <c r="E17" s="10">
        <v>20900</v>
      </c>
      <c r="F17" s="10">
        <v>20900</v>
      </c>
      <c r="G17" s="10">
        <v>20900</v>
      </c>
      <c r="H17" s="10">
        <v>20900</v>
      </c>
      <c r="I17" s="10">
        <v>20900</v>
      </c>
      <c r="J17" s="10">
        <v>20900</v>
      </c>
      <c r="K17" s="10">
        <v>20900</v>
      </c>
      <c r="L17" s="10">
        <v>20900</v>
      </c>
      <c r="M17" s="10">
        <v>20900</v>
      </c>
      <c r="N17" s="10">
        <v>20900</v>
      </c>
      <c r="O17" s="10">
        <v>20900</v>
      </c>
    </row>
    <row r="18" spans="1:15" x14ac:dyDescent="0.3">
      <c r="A18" s="1" t="s">
        <v>102</v>
      </c>
      <c r="B18" t="s">
        <v>85</v>
      </c>
      <c r="C18" s="3" t="s">
        <v>16</v>
      </c>
      <c r="D18" s="9">
        <v>10000</v>
      </c>
      <c r="E18" s="10">
        <v>30000</v>
      </c>
      <c r="F18" s="10">
        <v>30000</v>
      </c>
      <c r="G18" s="10">
        <v>25000</v>
      </c>
      <c r="H18" s="10">
        <v>25000</v>
      </c>
      <c r="I18" s="10">
        <v>20652.7</v>
      </c>
      <c r="J18" s="10">
        <v>16322.07</v>
      </c>
      <c r="K18" s="10">
        <v>5000</v>
      </c>
      <c r="L18" s="10">
        <v>15000</v>
      </c>
      <c r="M18" s="10">
        <v>15000</v>
      </c>
      <c r="N18" s="10">
        <v>10000</v>
      </c>
      <c r="O18" s="10">
        <v>10000</v>
      </c>
    </row>
    <row r="19" spans="1:15" x14ac:dyDescent="0.3">
      <c r="A19" s="1" t="s">
        <v>102</v>
      </c>
      <c r="B19" t="s">
        <v>86</v>
      </c>
      <c r="C19" s="3" t="s">
        <v>17</v>
      </c>
      <c r="D19" s="9">
        <v>17164.835599999999</v>
      </c>
      <c r="E19" s="10">
        <v>19522.376500000002</v>
      </c>
      <c r="F19" s="10">
        <v>26269.899699999998</v>
      </c>
      <c r="G19" s="10">
        <v>4511.8919999999998</v>
      </c>
      <c r="H19" s="10">
        <v>19665.551949999997</v>
      </c>
      <c r="I19" s="10">
        <v>19665.551949999997</v>
      </c>
      <c r="J19" s="10">
        <v>5925.3903500000006</v>
      </c>
      <c r="K19" s="10">
        <v>20547.542399999998</v>
      </c>
      <c r="L19" s="10">
        <v>18240.663100000002</v>
      </c>
      <c r="M19" s="10">
        <v>19242.368750000001</v>
      </c>
      <c r="N19" s="10">
        <v>20652.105099999997</v>
      </c>
      <c r="O19" s="10">
        <v>29784.934850000001</v>
      </c>
    </row>
    <row r="20" spans="1:15" x14ac:dyDescent="0.3">
      <c r="A20" s="1" t="s">
        <v>77</v>
      </c>
      <c r="B20" s="1" t="s">
        <v>60</v>
      </c>
      <c r="C20" s="3" t="s">
        <v>18</v>
      </c>
      <c r="D20" s="9">
        <v>21083.397499999999</v>
      </c>
      <c r="E20" s="10">
        <v>56691.772499999999</v>
      </c>
      <c r="F20" s="10">
        <v>19768.369499999997</v>
      </c>
      <c r="G20" s="10">
        <v>988.57</v>
      </c>
      <c r="H20" s="10">
        <v>16294.5805</v>
      </c>
      <c r="I20" s="10">
        <v>5516.0325000000003</v>
      </c>
      <c r="J20" s="10">
        <v>3435.3330000000001</v>
      </c>
      <c r="K20" s="10">
        <v>27676.302500000002</v>
      </c>
      <c r="L20" s="10">
        <v>5765.7875000000004</v>
      </c>
      <c r="M20" s="10">
        <v>9829.7924999999996</v>
      </c>
      <c r="N20" s="10">
        <v>29628.675999999999</v>
      </c>
      <c r="O20" s="10">
        <v>18934.355</v>
      </c>
    </row>
    <row r="21" spans="1:15" x14ac:dyDescent="0.3">
      <c r="A21" s="1" t="s">
        <v>102</v>
      </c>
      <c r="B21" s="1" t="s">
        <v>61</v>
      </c>
      <c r="C21" s="3" t="s">
        <v>19</v>
      </c>
      <c r="D21" s="9">
        <v>11583.730949999999</v>
      </c>
      <c r="E21" s="10">
        <v>17011.931199999999</v>
      </c>
      <c r="F21" s="10">
        <v>13460.341949999998</v>
      </c>
      <c r="G21" s="10">
        <v>19835.594349999999</v>
      </c>
      <c r="H21" s="10">
        <v>19174.245199999998</v>
      </c>
      <c r="I21" s="10">
        <v>10824.245850000001</v>
      </c>
      <c r="J21" s="10">
        <v>11353.87275</v>
      </c>
      <c r="K21" s="10">
        <v>11490.130300000001</v>
      </c>
      <c r="L21" s="10">
        <v>8921.7397499999988</v>
      </c>
      <c r="M21" s="10">
        <v>9692.7302999999993</v>
      </c>
      <c r="N21" s="10">
        <v>12334.647050000001</v>
      </c>
      <c r="O21" s="10">
        <v>11142.6469</v>
      </c>
    </row>
    <row r="22" spans="1:15" x14ac:dyDescent="0.3">
      <c r="A22" s="1" t="s">
        <v>102</v>
      </c>
      <c r="B22" t="s">
        <v>87</v>
      </c>
      <c r="C22" s="3" t="s">
        <v>20</v>
      </c>
      <c r="D22" s="9">
        <v>8616.1504000000004</v>
      </c>
      <c r="E22" s="10">
        <v>19974.694299999999</v>
      </c>
      <c r="F22" s="10">
        <v>8928.3755000000001</v>
      </c>
      <c r="G22" s="10">
        <v>6748.6831499999998</v>
      </c>
      <c r="H22" s="10">
        <v>15349.712399999999</v>
      </c>
      <c r="I22" s="10">
        <v>18578.459350000001</v>
      </c>
      <c r="J22" s="10">
        <v>9642.5076000000008</v>
      </c>
      <c r="K22" s="10">
        <v>8601.1964499999995</v>
      </c>
      <c r="L22" s="10">
        <v>10013.649800000001</v>
      </c>
      <c r="M22" s="10">
        <v>14336.6476</v>
      </c>
      <c r="N22" s="10">
        <v>10994.800300000001</v>
      </c>
      <c r="O22" s="10">
        <v>6389.8510499999993</v>
      </c>
    </row>
    <row r="23" spans="1:15" x14ac:dyDescent="0.3">
      <c r="A23" s="1" t="s">
        <v>102</v>
      </c>
      <c r="B23" t="s">
        <v>88</v>
      </c>
      <c r="C23" s="3" t="s">
        <v>21</v>
      </c>
      <c r="D23" s="9">
        <v>4067.9760000000001</v>
      </c>
      <c r="E23" s="10">
        <v>7854.0319000000009</v>
      </c>
      <c r="F23" s="10">
        <v>9847.3485000000001</v>
      </c>
      <c r="G23" s="10">
        <v>23758.043649999996</v>
      </c>
      <c r="H23" s="10">
        <v>19400.7176</v>
      </c>
      <c r="I23" s="10">
        <v>11712.067400000002</v>
      </c>
      <c r="J23" s="10">
        <v>8208.4436500000011</v>
      </c>
      <c r="K23" s="10">
        <v>9121.3243000000002</v>
      </c>
      <c r="L23" s="10">
        <v>4769.0456000000004</v>
      </c>
      <c r="M23" s="10">
        <v>9339.321750000001</v>
      </c>
      <c r="N23" s="10">
        <v>5700.4645499999997</v>
      </c>
      <c r="O23" s="10">
        <v>7876.0813999999991</v>
      </c>
    </row>
    <row r="24" spans="1:15" x14ac:dyDescent="0.3">
      <c r="A24" s="1" t="s">
        <v>103</v>
      </c>
      <c r="B24" s="1" t="s">
        <v>62</v>
      </c>
      <c r="C24" s="3" t="s">
        <v>22</v>
      </c>
      <c r="D24" s="9">
        <v>9716.5249499999991</v>
      </c>
      <c r="E24" s="10">
        <v>7391.5566999999992</v>
      </c>
      <c r="F24" s="10">
        <v>8836.7916999999979</v>
      </c>
      <c r="G24" s="10">
        <v>8840.4910000000018</v>
      </c>
      <c r="H24" s="10">
        <v>9207.7248999999956</v>
      </c>
      <c r="I24" s="10">
        <v>9260.0480500000012</v>
      </c>
      <c r="J24" s="10">
        <v>7193.6336999999994</v>
      </c>
      <c r="K24" s="10">
        <v>9141.16885</v>
      </c>
      <c r="L24" s="10">
        <v>14833.398799999999</v>
      </c>
      <c r="M24" s="10">
        <v>10681.916849999996</v>
      </c>
      <c r="N24" s="10">
        <v>14831.873099999997</v>
      </c>
      <c r="O24" s="10">
        <v>9109.4217499999995</v>
      </c>
    </row>
    <row r="25" spans="1:15" x14ac:dyDescent="0.3">
      <c r="A25" s="1" t="s">
        <v>102</v>
      </c>
      <c r="B25" s="1" t="s">
        <v>63</v>
      </c>
      <c r="C25" s="3" t="s">
        <v>23</v>
      </c>
      <c r="D25" s="9">
        <v>7863.4473500000004</v>
      </c>
      <c r="E25" s="10">
        <v>6349.2737000000006</v>
      </c>
      <c r="F25" s="10">
        <v>8464.4477500000012</v>
      </c>
      <c r="G25" s="10">
        <v>12621.708549999999</v>
      </c>
      <c r="H25" s="10">
        <v>9116.3500999999997</v>
      </c>
      <c r="I25" s="10">
        <v>10172.019549999999</v>
      </c>
      <c r="J25" s="10">
        <v>6206.4013000000004</v>
      </c>
      <c r="K25" s="10">
        <v>8357.857750000001</v>
      </c>
      <c r="L25" s="10">
        <v>10716.882549999998</v>
      </c>
      <c r="M25" s="10">
        <v>24724.532800000001</v>
      </c>
      <c r="N25" s="10">
        <v>9045.6767500000024</v>
      </c>
      <c r="O25" s="10">
        <v>5148.55825</v>
      </c>
    </row>
    <row r="26" spans="1:15" x14ac:dyDescent="0.3">
      <c r="A26" s="1" t="s">
        <v>104</v>
      </c>
      <c r="B26" s="1" t="s">
        <v>64</v>
      </c>
      <c r="C26" s="3" t="s">
        <v>24</v>
      </c>
      <c r="D26" s="9">
        <v>7792.9620999999997</v>
      </c>
      <c r="E26" s="10">
        <v>20900</v>
      </c>
      <c r="F26" s="10">
        <v>776.23644999999999</v>
      </c>
      <c r="G26" s="10">
        <v>707.00519999999995</v>
      </c>
      <c r="H26" s="10">
        <v>95.73245</v>
      </c>
      <c r="I26" s="10">
        <v>1852.4088000000002</v>
      </c>
      <c r="J26" s="10">
        <v>22676.980700000004</v>
      </c>
      <c r="K26" s="10">
        <v>14098.345800000001</v>
      </c>
      <c r="L26" s="10">
        <v>7589.3960999999999</v>
      </c>
      <c r="M26" s="10">
        <v>3395.0168999999996</v>
      </c>
      <c r="N26" s="10">
        <v>8876.5539499999995</v>
      </c>
      <c r="O26" s="10">
        <v>3421.33</v>
      </c>
    </row>
    <row r="27" spans="1:15" x14ac:dyDescent="0.3">
      <c r="A27" s="1" t="s">
        <v>102</v>
      </c>
      <c r="B27" t="s">
        <v>89</v>
      </c>
      <c r="C27" s="3" t="s">
        <v>25</v>
      </c>
      <c r="D27" s="9">
        <v>20900</v>
      </c>
      <c r="E27" s="10">
        <v>15675</v>
      </c>
      <c r="F27" s="10">
        <v>5225</v>
      </c>
      <c r="G27" s="10">
        <v>0</v>
      </c>
      <c r="H27" s="10">
        <v>15675</v>
      </c>
      <c r="I27" s="10">
        <v>20900</v>
      </c>
      <c r="J27" s="10">
        <v>10450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</row>
    <row r="28" spans="1:15" x14ac:dyDescent="0.3">
      <c r="A28" s="1" t="s">
        <v>103</v>
      </c>
      <c r="B28"/>
      <c r="C28" s="3" t="s">
        <v>26</v>
      </c>
      <c r="D28" s="9">
        <v>3610.6317500000005</v>
      </c>
      <c r="E28" s="10">
        <v>4903.4639500000003</v>
      </c>
      <c r="F28" s="10">
        <v>3900.0758499999997</v>
      </c>
      <c r="G28" s="10">
        <v>4306.5495000000001</v>
      </c>
      <c r="H28" s="10">
        <v>5113.8747000000003</v>
      </c>
      <c r="I28" s="10">
        <v>4630.3741000000009</v>
      </c>
      <c r="J28" s="10">
        <v>5945.7887500000006</v>
      </c>
      <c r="K28" s="10">
        <v>10158.633100000003</v>
      </c>
      <c r="L28" s="10">
        <v>5150.4601499999999</v>
      </c>
      <c r="M28" s="10">
        <v>4363.1571500000009</v>
      </c>
      <c r="N28" s="10">
        <v>5594.7001</v>
      </c>
      <c r="O28" s="10">
        <v>2770.1487000000002</v>
      </c>
    </row>
    <row r="29" spans="1:15" x14ac:dyDescent="0.3">
      <c r="A29" s="1" t="s">
        <v>102</v>
      </c>
      <c r="B29" t="s">
        <v>90</v>
      </c>
      <c r="C29" s="3" t="s">
        <v>27</v>
      </c>
      <c r="D29" s="9">
        <v>1567.5</v>
      </c>
      <c r="E29" s="10">
        <v>2612.5</v>
      </c>
      <c r="F29" s="10">
        <v>2090</v>
      </c>
      <c r="G29" s="10">
        <v>522.5</v>
      </c>
      <c r="H29" s="10">
        <v>1567.5</v>
      </c>
      <c r="I29" s="10">
        <v>1567.5</v>
      </c>
      <c r="J29" s="10">
        <v>2090</v>
      </c>
      <c r="K29" s="10">
        <v>3135</v>
      </c>
      <c r="L29" s="10">
        <v>4130.3625000000002</v>
      </c>
      <c r="M29" s="10">
        <v>7326.4949999999999</v>
      </c>
      <c r="N29" s="10">
        <v>8397.1497500000005</v>
      </c>
      <c r="O29" s="10">
        <v>10450</v>
      </c>
    </row>
    <row r="30" spans="1:15" x14ac:dyDescent="0.3">
      <c r="A30" s="1" t="s">
        <v>104</v>
      </c>
      <c r="B30" s="1" t="s">
        <v>65</v>
      </c>
      <c r="C30" s="3" t="s">
        <v>28</v>
      </c>
      <c r="D30" s="9">
        <v>1931.2017999999998</v>
      </c>
      <c r="E30" s="10">
        <v>10450</v>
      </c>
      <c r="F30" s="10">
        <v>1130.2929000000001</v>
      </c>
      <c r="G30" s="10">
        <v>2090</v>
      </c>
      <c r="H30" s="10">
        <v>2150.53685</v>
      </c>
      <c r="I30" s="10">
        <v>2090</v>
      </c>
      <c r="J30" s="10">
        <v>3135</v>
      </c>
      <c r="K30" s="10">
        <v>4180</v>
      </c>
      <c r="L30" s="10">
        <v>2164.5816500000001</v>
      </c>
      <c r="M30" s="10">
        <v>6270</v>
      </c>
      <c r="N30" s="10">
        <v>4504.1903500000008</v>
      </c>
      <c r="O30" s="10">
        <v>5225</v>
      </c>
    </row>
    <row r="31" spans="1:15" x14ac:dyDescent="0.3">
      <c r="A31" s="1" t="s">
        <v>103</v>
      </c>
      <c r="B31" s="1" t="s">
        <v>66</v>
      </c>
      <c r="C31" s="3" t="s">
        <v>29</v>
      </c>
      <c r="D31" s="9">
        <v>6127.3784000000005</v>
      </c>
      <c r="E31" s="10">
        <v>954.62839999999994</v>
      </c>
      <c r="F31" s="10">
        <v>5703.7458499999993</v>
      </c>
      <c r="G31" s="10">
        <v>6555.5357999999997</v>
      </c>
      <c r="H31" s="10">
        <v>11364.78255</v>
      </c>
      <c r="I31" s="10">
        <v>4702.5</v>
      </c>
      <c r="J31" s="10">
        <v>1200.7467999999999</v>
      </c>
      <c r="K31" s="10">
        <v>852.79314999999997</v>
      </c>
      <c r="L31" s="10">
        <v>1630.02235</v>
      </c>
      <c r="M31" s="10">
        <v>5372.2300500000001</v>
      </c>
      <c r="N31" s="10">
        <v>307.23</v>
      </c>
      <c r="O31" s="10">
        <v>209</v>
      </c>
    </row>
    <row r="32" spans="1:15" x14ac:dyDescent="0.3">
      <c r="A32" s="1" t="s">
        <v>104</v>
      </c>
      <c r="B32" s="1" t="s">
        <v>67</v>
      </c>
      <c r="C32" s="3" t="s">
        <v>30</v>
      </c>
      <c r="D32" s="9">
        <v>3256.0632499999997</v>
      </c>
      <c r="E32" s="10">
        <v>3055.23515</v>
      </c>
      <c r="F32" s="10">
        <v>1240.6867</v>
      </c>
      <c r="G32" s="10">
        <v>4326.5508</v>
      </c>
      <c r="H32" s="10">
        <v>5681.5709500000003</v>
      </c>
      <c r="I32" s="10">
        <v>2524.0512000000003</v>
      </c>
      <c r="J32" s="10">
        <f>5225+54166.67</f>
        <v>59391.67</v>
      </c>
      <c r="K32" s="10">
        <v>6270</v>
      </c>
      <c r="L32" s="10">
        <v>1804.6314</v>
      </c>
      <c r="M32" s="10">
        <v>3135</v>
      </c>
      <c r="N32" s="10">
        <v>4180</v>
      </c>
      <c r="O32" s="10">
        <v>3135</v>
      </c>
    </row>
    <row r="33" spans="1:15" x14ac:dyDescent="0.3">
      <c r="A33" s="1" t="s">
        <v>103</v>
      </c>
      <c r="C33" s="3" t="s">
        <v>31</v>
      </c>
      <c r="D33" s="9">
        <v>4124.08205</v>
      </c>
      <c r="E33" s="10">
        <v>4742.3563000000004</v>
      </c>
      <c r="F33" s="10">
        <v>961.37909999999999</v>
      </c>
      <c r="G33" s="10">
        <v>993.53375000000005</v>
      </c>
      <c r="H33" s="10">
        <v>1294.61915</v>
      </c>
      <c r="I33" s="10">
        <v>1567.6567499999999</v>
      </c>
      <c r="J33" s="10">
        <v>3472.6812999999993</v>
      </c>
      <c r="K33" s="10">
        <v>1915.4640999999997</v>
      </c>
      <c r="L33" s="10">
        <v>357.86025000000001</v>
      </c>
      <c r="M33" s="10">
        <v>3887.138750000001</v>
      </c>
      <c r="N33" s="10">
        <v>2075.7671</v>
      </c>
      <c r="O33" s="10">
        <v>6162.3545499999991</v>
      </c>
    </row>
    <row r="34" spans="1:15" x14ac:dyDescent="0.3">
      <c r="A34" s="1" t="s">
        <v>102</v>
      </c>
      <c r="B34" s="1" t="s">
        <v>68</v>
      </c>
      <c r="C34" s="3" t="s">
        <v>32</v>
      </c>
      <c r="D34" s="9">
        <v>3946.6201500000002</v>
      </c>
      <c r="E34" s="10">
        <v>1680.6212499999999</v>
      </c>
      <c r="F34" s="10">
        <v>1520.1928499999999</v>
      </c>
      <c r="G34" s="10">
        <v>3087.8704999999995</v>
      </c>
      <c r="H34" s="10">
        <v>1238.0115000000001</v>
      </c>
      <c r="I34" s="10">
        <v>1971.7687000000001</v>
      </c>
      <c r="J34" s="10">
        <v>932.33855000000005</v>
      </c>
      <c r="K34" s="10">
        <v>1846.7866999999999</v>
      </c>
      <c r="L34" s="10">
        <v>4054.5164</v>
      </c>
      <c r="M34" s="10">
        <v>2111.5061000000001</v>
      </c>
      <c r="N34" s="10">
        <v>6329.3455500000009</v>
      </c>
      <c r="O34" s="10">
        <v>2594.8708500000002</v>
      </c>
    </row>
    <row r="35" spans="1:15" x14ac:dyDescent="0.3">
      <c r="A35" s="1" t="s">
        <v>102</v>
      </c>
      <c r="B35" s="1" t="s">
        <v>69</v>
      </c>
      <c r="C35" s="3" t="s">
        <v>33</v>
      </c>
      <c r="D35" s="9">
        <v>243.02520000000001</v>
      </c>
      <c r="E35" s="10">
        <v>298.72370000000001</v>
      </c>
      <c r="F35" s="10">
        <v>959.13235000000009</v>
      </c>
      <c r="G35" s="10">
        <v>756.53820000000007</v>
      </c>
      <c r="H35" s="10">
        <v>0</v>
      </c>
      <c r="I35" s="10">
        <v>10.8262</v>
      </c>
      <c r="J35" s="10">
        <v>0</v>
      </c>
      <c r="K35" s="10">
        <v>16.072100000000002</v>
      </c>
      <c r="L35" s="10">
        <v>15116.572900000003</v>
      </c>
      <c r="M35" s="10">
        <v>6144.4432500000003</v>
      </c>
      <c r="N35" s="10">
        <v>1534.0808999999999</v>
      </c>
      <c r="O35" s="10">
        <v>192.93834999999999</v>
      </c>
    </row>
    <row r="36" spans="1:15" x14ac:dyDescent="0.3">
      <c r="A36" s="1" t="s">
        <v>102</v>
      </c>
      <c r="B36" s="1" t="s">
        <v>70</v>
      </c>
      <c r="C36" s="3" t="s">
        <v>34</v>
      </c>
      <c r="D36" s="9">
        <v>544.30915000000005</v>
      </c>
      <c r="E36" s="10">
        <v>2749.9697499999997</v>
      </c>
      <c r="F36" s="10">
        <v>643.69910000000004</v>
      </c>
      <c r="G36" s="10">
        <v>830.31519999999989</v>
      </c>
      <c r="H36" s="10">
        <v>1027.7366</v>
      </c>
      <c r="I36" s="10">
        <v>1524.4041999999999</v>
      </c>
      <c r="J36" s="10">
        <v>4701.0578999999998</v>
      </c>
      <c r="K36" s="10">
        <v>9398.3224499999997</v>
      </c>
      <c r="L36" s="10">
        <v>0</v>
      </c>
      <c r="M36" s="10">
        <v>0</v>
      </c>
      <c r="N36" s="10">
        <v>0</v>
      </c>
      <c r="O36" s="10">
        <v>0</v>
      </c>
    </row>
    <row r="37" spans="1:15" x14ac:dyDescent="0.3">
      <c r="A37" s="1" t="s">
        <v>104</v>
      </c>
      <c r="B37" s="1" t="s">
        <v>71</v>
      </c>
      <c r="C37" s="3" t="s">
        <v>35</v>
      </c>
      <c r="D37" s="9">
        <v>961.48360000000002</v>
      </c>
      <c r="E37" s="10">
        <v>2103.8566999999998</v>
      </c>
      <c r="F37" s="10">
        <v>1329.6266499999999</v>
      </c>
      <c r="G37" s="10">
        <v>3256.8260999999993</v>
      </c>
      <c r="H37" s="10">
        <v>610.54124999999999</v>
      </c>
      <c r="I37" s="10">
        <v>821.67304999999999</v>
      </c>
      <c r="J37" s="10">
        <v>836</v>
      </c>
      <c r="K37" s="10">
        <v>1655.7606999999998</v>
      </c>
      <c r="L37" s="10">
        <v>2022.2422000000001</v>
      </c>
      <c r="M37" s="10">
        <v>2901.1603499999987</v>
      </c>
      <c r="N37" s="10">
        <v>2987.2056499999999</v>
      </c>
      <c r="O37" s="10">
        <v>1131.2752</v>
      </c>
    </row>
    <row r="38" spans="1:15" x14ac:dyDescent="0.3">
      <c r="A38" s="1" t="s">
        <v>103</v>
      </c>
      <c r="B38" s="1" t="s">
        <v>72</v>
      </c>
      <c r="C38" s="3" t="s">
        <v>36</v>
      </c>
      <c r="D38" s="9">
        <v>1557.03955</v>
      </c>
      <c r="E38" s="10">
        <v>858.72874999999976</v>
      </c>
      <c r="F38" s="10">
        <v>342.32110000000006</v>
      </c>
      <c r="G38" s="10">
        <v>647.7432500000001</v>
      </c>
      <c r="H38" s="10">
        <v>723.08775000000003</v>
      </c>
      <c r="I38" s="10">
        <v>1865.7639000000001</v>
      </c>
      <c r="J38" s="10">
        <v>2559.560300000001</v>
      </c>
      <c r="K38" s="10">
        <v>2460.4733999999989</v>
      </c>
      <c r="L38" s="10">
        <v>3101.0270499999992</v>
      </c>
      <c r="M38" s="10">
        <v>2784.7160000000003</v>
      </c>
      <c r="N38" s="10">
        <v>1649.6578999999997</v>
      </c>
      <c r="O38" s="10">
        <v>1229.91275</v>
      </c>
    </row>
    <row r="39" spans="1:15" x14ac:dyDescent="0.3">
      <c r="A39" s="1" t="s">
        <v>102</v>
      </c>
      <c r="B39" t="s">
        <v>91</v>
      </c>
      <c r="C39" s="3" t="s">
        <v>37</v>
      </c>
      <c r="D39" s="9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1045</v>
      </c>
      <c r="K39" s="10">
        <v>3910.3795499999997</v>
      </c>
      <c r="L39" s="10">
        <v>3135</v>
      </c>
      <c r="M39" s="10">
        <v>1254</v>
      </c>
      <c r="N39" s="10">
        <v>4180</v>
      </c>
      <c r="O39" s="10">
        <v>1567.5</v>
      </c>
    </row>
    <row r="40" spans="1:15" x14ac:dyDescent="0.3">
      <c r="A40" s="1" t="s">
        <v>103</v>
      </c>
      <c r="C40" s="3" t="s">
        <v>38</v>
      </c>
      <c r="D40" s="9">
        <v>1567.5</v>
      </c>
      <c r="E40" s="9">
        <v>1437.2511999999999</v>
      </c>
      <c r="F40" s="9">
        <v>804.23199999999986</v>
      </c>
      <c r="G40" s="9">
        <v>1567.5</v>
      </c>
      <c r="H40" s="9">
        <v>1045</v>
      </c>
      <c r="I40" s="9">
        <v>55.855250000000012</v>
      </c>
      <c r="J40" s="9">
        <v>920.78084999999999</v>
      </c>
      <c r="K40" s="9">
        <v>103.455</v>
      </c>
      <c r="L40" s="9">
        <v>1045</v>
      </c>
      <c r="M40" s="9">
        <v>1045</v>
      </c>
      <c r="N40" s="9">
        <v>1045</v>
      </c>
      <c r="O40" s="9">
        <v>1567.5</v>
      </c>
    </row>
    <row r="41" spans="1:15" x14ac:dyDescent="0.3">
      <c r="A41" s="1" t="s">
        <v>102</v>
      </c>
      <c r="B41" s="1" t="s">
        <v>73</v>
      </c>
      <c r="C41" s="3" t="s">
        <v>39</v>
      </c>
      <c r="D41" s="9">
        <v>631.69204999999999</v>
      </c>
      <c r="E41" s="10">
        <v>690.68230000000005</v>
      </c>
      <c r="F41" s="10">
        <v>896.27559999999994</v>
      </c>
      <c r="G41" s="10">
        <v>675.94780000000003</v>
      </c>
      <c r="H41" s="10">
        <v>723.00414999999998</v>
      </c>
      <c r="I41" s="10">
        <v>2545.81855</v>
      </c>
      <c r="J41" s="10">
        <v>2046.3503499999999</v>
      </c>
      <c r="K41" s="10">
        <v>1422.2972499999998</v>
      </c>
      <c r="L41" s="10">
        <v>779.07884999999999</v>
      </c>
      <c r="M41" s="10">
        <v>504.22294999999991</v>
      </c>
      <c r="N41" s="10">
        <v>142.51710000000003</v>
      </c>
      <c r="O41" s="10">
        <v>496.9393</v>
      </c>
    </row>
    <row r="42" spans="1:15" x14ac:dyDescent="0.3">
      <c r="A42" s="1" t="s">
        <v>103</v>
      </c>
      <c r="C42" s="3" t="s">
        <v>40</v>
      </c>
      <c r="D42" s="9">
        <v>1158.4869999999999</v>
      </c>
      <c r="E42" s="10">
        <v>615.08699999999999</v>
      </c>
      <c r="F42" s="10">
        <v>786.88499999999999</v>
      </c>
      <c r="G42" s="10">
        <v>857.94500000000005</v>
      </c>
      <c r="H42" s="10">
        <v>1731.5650000000001</v>
      </c>
      <c r="I42" s="10">
        <v>1621.84</v>
      </c>
      <c r="J42" s="10">
        <v>576.84</v>
      </c>
      <c r="K42" s="10">
        <v>141.07499999999999</v>
      </c>
      <c r="L42" s="10">
        <v>1013.65</v>
      </c>
      <c r="M42" s="10">
        <v>165.11</v>
      </c>
      <c r="N42" s="10">
        <v>322.48700000000002</v>
      </c>
      <c r="O42" s="10">
        <v>1864.58305</v>
      </c>
    </row>
    <row r="43" spans="1:15" x14ac:dyDescent="0.3">
      <c r="A43" s="1" t="s">
        <v>102</v>
      </c>
      <c r="B43" s="1" t="s">
        <v>74</v>
      </c>
      <c r="C43" s="3" t="s">
        <v>41</v>
      </c>
      <c r="D43" s="9">
        <v>0</v>
      </c>
      <c r="E43" s="9">
        <v>589.76665000000003</v>
      </c>
      <c r="F43" s="9">
        <v>0</v>
      </c>
      <c r="G43" s="9">
        <v>0</v>
      </c>
      <c r="H43" s="9">
        <v>1594.2728999999999</v>
      </c>
      <c r="I43" s="9">
        <v>0</v>
      </c>
      <c r="J43" s="9">
        <v>1793.5335</v>
      </c>
      <c r="K43" s="9">
        <v>0</v>
      </c>
      <c r="L43" s="9">
        <v>2009.37825</v>
      </c>
      <c r="M43" s="9">
        <v>0</v>
      </c>
      <c r="N43" s="9">
        <v>0</v>
      </c>
      <c r="O43" s="9">
        <v>1567.5</v>
      </c>
    </row>
    <row r="44" spans="1:15" x14ac:dyDescent="0.3">
      <c r="A44" s="1" t="s">
        <v>102</v>
      </c>
      <c r="B44" t="s">
        <v>92</v>
      </c>
      <c r="C44" s="3" t="s">
        <v>42</v>
      </c>
      <c r="D44" s="9">
        <v>1045</v>
      </c>
      <c r="E44" s="10">
        <v>0</v>
      </c>
      <c r="F44" s="10">
        <v>0</v>
      </c>
      <c r="G44" s="10">
        <v>0</v>
      </c>
      <c r="H44" s="10">
        <v>0</v>
      </c>
      <c r="I44" s="10">
        <v>1828.3006499999999</v>
      </c>
      <c r="J44" s="10">
        <v>2090</v>
      </c>
      <c r="K44" s="10">
        <v>1045</v>
      </c>
      <c r="L44" s="10">
        <v>0</v>
      </c>
      <c r="M44" s="10">
        <v>0</v>
      </c>
      <c r="N44" s="10">
        <v>0</v>
      </c>
      <c r="O44" s="10">
        <v>1045</v>
      </c>
    </row>
    <row r="45" spans="1:15" x14ac:dyDescent="0.3">
      <c r="A45" s="1" t="s">
        <v>102</v>
      </c>
      <c r="B45" t="s">
        <v>93</v>
      </c>
      <c r="C45" s="3" t="s">
        <v>43</v>
      </c>
      <c r="D45" s="9">
        <v>313.5</v>
      </c>
      <c r="E45" s="10">
        <v>1045</v>
      </c>
      <c r="F45" s="10">
        <v>1567.5</v>
      </c>
      <c r="G45" s="10">
        <v>313.5</v>
      </c>
      <c r="H45" s="10">
        <v>522.5</v>
      </c>
      <c r="I45" s="10">
        <v>313.5</v>
      </c>
      <c r="J45" s="10">
        <v>313.5</v>
      </c>
      <c r="K45" s="10">
        <v>313.5</v>
      </c>
      <c r="L45" s="10">
        <v>313.5</v>
      </c>
      <c r="M45" s="10">
        <v>313.5</v>
      </c>
      <c r="N45" s="10">
        <v>160.89865</v>
      </c>
      <c r="O45" s="10">
        <v>313.5</v>
      </c>
    </row>
    <row r="46" spans="1:15" x14ac:dyDescent="0.3">
      <c r="A46" s="1" t="s">
        <v>102</v>
      </c>
      <c r="B46" t="s">
        <v>94</v>
      </c>
      <c r="C46" s="3" t="s">
        <v>44</v>
      </c>
      <c r="D46" s="9">
        <v>0</v>
      </c>
      <c r="E46" s="10">
        <v>0</v>
      </c>
      <c r="F46" s="10">
        <v>212.50074999999998</v>
      </c>
      <c r="G46" s="10">
        <v>244.01794999999998</v>
      </c>
      <c r="H46" s="10">
        <v>387.37104999999997</v>
      </c>
      <c r="I46" s="10">
        <v>2493.7357499999998</v>
      </c>
      <c r="J46" s="10">
        <v>436.60099999999994</v>
      </c>
      <c r="K46" s="10">
        <v>410.25655000000006</v>
      </c>
      <c r="L46" s="10">
        <v>0</v>
      </c>
      <c r="M46" s="10">
        <v>0</v>
      </c>
      <c r="N46" s="10">
        <v>333.24005</v>
      </c>
      <c r="O46" s="10">
        <v>0</v>
      </c>
    </row>
    <row r="47" spans="1:15" x14ac:dyDescent="0.3">
      <c r="A47" s="8" t="s">
        <v>108</v>
      </c>
      <c r="B47" t="s">
        <v>95</v>
      </c>
      <c r="C47" s="3" t="s">
        <v>45</v>
      </c>
      <c r="D47" s="9">
        <v>275.48290000000003</v>
      </c>
      <c r="E47" s="10">
        <v>275.48290000000003</v>
      </c>
      <c r="F47" s="10">
        <v>313.5</v>
      </c>
      <c r="G47" s="10">
        <v>313.5</v>
      </c>
      <c r="H47" s="10">
        <v>313.5</v>
      </c>
      <c r="I47" s="10">
        <v>313.5</v>
      </c>
      <c r="J47" s="10">
        <v>313.5</v>
      </c>
      <c r="K47" s="10">
        <v>313.5</v>
      </c>
      <c r="L47" s="10">
        <v>573.76769999999999</v>
      </c>
      <c r="M47" s="10">
        <v>573.76769999999999</v>
      </c>
      <c r="N47" s="10">
        <v>573.76769999999999</v>
      </c>
      <c r="O47" s="10">
        <v>275.48290000000003</v>
      </c>
    </row>
    <row r="48" spans="1:15" x14ac:dyDescent="0.3">
      <c r="A48" s="1" t="s">
        <v>103</v>
      </c>
      <c r="B48" t="s">
        <v>96</v>
      </c>
      <c r="C48" s="3" t="s">
        <v>46</v>
      </c>
      <c r="D48" s="9">
        <v>0</v>
      </c>
      <c r="E48" s="10">
        <v>0</v>
      </c>
      <c r="F48" s="10">
        <v>0</v>
      </c>
      <c r="G48" s="10">
        <v>2505.91</v>
      </c>
      <c r="H48" s="10">
        <v>0</v>
      </c>
      <c r="I48" s="10">
        <v>813.62654999999995</v>
      </c>
      <c r="J48" s="10">
        <v>723.04594999999995</v>
      </c>
      <c r="K48" s="10">
        <v>0</v>
      </c>
      <c r="L48" s="10">
        <v>0</v>
      </c>
      <c r="M48" s="10">
        <v>0</v>
      </c>
      <c r="N48" s="10">
        <v>209</v>
      </c>
      <c r="O48" s="10">
        <v>0</v>
      </c>
    </row>
    <row r="49" spans="1:15" x14ac:dyDescent="0.3">
      <c r="A49" s="1" t="s">
        <v>77</v>
      </c>
      <c r="B49" t="s">
        <v>97</v>
      </c>
      <c r="C49" s="3" t="s">
        <v>47</v>
      </c>
      <c r="D49" s="9">
        <v>209</v>
      </c>
      <c r="E49" s="10">
        <v>209</v>
      </c>
      <c r="F49" s="10">
        <v>209</v>
      </c>
      <c r="G49" s="10">
        <v>209</v>
      </c>
      <c r="H49" s="10">
        <v>209</v>
      </c>
      <c r="I49" s="10">
        <v>209</v>
      </c>
      <c r="J49" s="10">
        <v>209</v>
      </c>
      <c r="K49" s="10">
        <v>209</v>
      </c>
      <c r="L49" s="10">
        <v>522.5</v>
      </c>
      <c r="M49" s="10">
        <v>522.5</v>
      </c>
      <c r="N49" s="10">
        <v>522.5</v>
      </c>
      <c r="O49" s="10">
        <v>522.5</v>
      </c>
    </row>
    <row r="50" spans="1:15" x14ac:dyDescent="0.3">
      <c r="A50" s="1" t="s">
        <v>102</v>
      </c>
      <c r="B50" s="1" t="s">
        <v>75</v>
      </c>
      <c r="C50" s="3" t="s">
        <v>48</v>
      </c>
      <c r="D50" s="9">
        <v>81.248750000000001</v>
      </c>
      <c r="E50" s="10">
        <v>140.9914</v>
      </c>
      <c r="F50" s="10">
        <v>87.842700000000008</v>
      </c>
      <c r="G50" s="10">
        <v>149.80074999999999</v>
      </c>
      <c r="H50" s="10">
        <v>196.46</v>
      </c>
      <c r="I50" s="10">
        <v>187.11770000000001</v>
      </c>
      <c r="J50" s="10">
        <v>211.1318</v>
      </c>
      <c r="K50" s="10">
        <v>150.41730000000001</v>
      </c>
      <c r="L50" s="10">
        <v>408.07249999999999</v>
      </c>
      <c r="M50" s="10">
        <v>725.35540000000003</v>
      </c>
      <c r="N50" s="10">
        <v>431.0625</v>
      </c>
      <c r="O50" s="10">
        <v>77.507649999999998</v>
      </c>
    </row>
    <row r="51" spans="1:15" x14ac:dyDescent="0.3">
      <c r="A51" s="1" t="s">
        <v>104</v>
      </c>
      <c r="B51" t="s">
        <v>98</v>
      </c>
      <c r="C51" s="3" t="s">
        <v>49</v>
      </c>
      <c r="D51" s="9">
        <v>480.19840000000005</v>
      </c>
      <c r="E51" s="10">
        <v>52.6053</v>
      </c>
      <c r="F51" s="10">
        <v>26.30265</v>
      </c>
      <c r="G51" s="10">
        <v>123.06965</v>
      </c>
      <c r="H51" s="10">
        <v>27.18045</v>
      </c>
      <c r="I51" s="10">
        <v>27.462600000000002</v>
      </c>
      <c r="J51" s="10">
        <v>104.5</v>
      </c>
      <c r="K51" s="10">
        <v>312.84165000000002</v>
      </c>
      <c r="L51" s="10">
        <v>298.74459999999999</v>
      </c>
      <c r="M51" s="10">
        <v>148.89159999999998</v>
      </c>
      <c r="N51" s="10">
        <v>426.33910000000003</v>
      </c>
      <c r="O51" s="10">
        <v>283.66525000000001</v>
      </c>
    </row>
    <row r="52" spans="1:15" x14ac:dyDescent="0.3">
      <c r="A52" s="1" t="s">
        <v>103</v>
      </c>
      <c r="B52" t="s">
        <v>99</v>
      </c>
      <c r="C52" s="3" t="s">
        <v>50</v>
      </c>
      <c r="D52" s="9">
        <v>0</v>
      </c>
      <c r="E52" s="9">
        <v>0</v>
      </c>
      <c r="F52" s="9">
        <v>0</v>
      </c>
      <c r="G52" s="9">
        <v>0</v>
      </c>
      <c r="H52" s="9">
        <v>0</v>
      </c>
      <c r="I52" s="9">
        <v>1527.1107499999998</v>
      </c>
      <c r="J52" s="9">
        <v>294.97215</v>
      </c>
      <c r="K52" s="9">
        <v>294.97215</v>
      </c>
      <c r="L52" s="9">
        <v>0</v>
      </c>
      <c r="M52" s="9">
        <v>0</v>
      </c>
      <c r="N52" s="9">
        <v>0</v>
      </c>
      <c r="O52" s="9">
        <v>0</v>
      </c>
    </row>
    <row r="53" spans="1:15" x14ac:dyDescent="0.3">
      <c r="A53" s="1" t="s">
        <v>102</v>
      </c>
      <c r="B53" t="s">
        <v>100</v>
      </c>
      <c r="C53" s="3" t="s">
        <v>51</v>
      </c>
      <c r="D53" s="11">
        <v>0</v>
      </c>
      <c r="E53" s="11">
        <v>0</v>
      </c>
      <c r="F53" s="11">
        <v>37.003449999999994</v>
      </c>
      <c r="G53" s="11">
        <v>0</v>
      </c>
      <c r="H53" s="11">
        <v>0</v>
      </c>
      <c r="I53" s="11">
        <v>173.56405000000001</v>
      </c>
      <c r="J53" s="11">
        <v>135.5992</v>
      </c>
      <c r="K53" s="11">
        <v>210.96459999999999</v>
      </c>
      <c r="L53" s="11">
        <v>0</v>
      </c>
      <c r="M53" s="11">
        <v>0</v>
      </c>
      <c r="N53" s="11">
        <v>0</v>
      </c>
      <c r="O53" s="11">
        <v>0</v>
      </c>
    </row>
    <row r="54" spans="1:15" x14ac:dyDescent="0.3">
      <c r="A54" s="1" t="s">
        <v>103</v>
      </c>
      <c r="B54"/>
      <c r="C54" s="3" t="s">
        <v>52</v>
      </c>
      <c r="D54" s="9">
        <v>0</v>
      </c>
      <c r="E54" s="10">
        <v>0</v>
      </c>
      <c r="F54" s="10">
        <v>0</v>
      </c>
      <c r="G54" s="10">
        <v>125.4</v>
      </c>
      <c r="H54" s="10">
        <v>0</v>
      </c>
      <c r="I54" s="10">
        <v>0</v>
      </c>
      <c r="J54" s="10">
        <v>109.87130000000001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</row>
    <row r="55" spans="1:15" x14ac:dyDescent="0.3">
      <c r="A55" s="1" t="s">
        <v>104</v>
      </c>
      <c r="B55" s="1" t="s">
        <v>76</v>
      </c>
      <c r="C55" s="3" t="s">
        <v>53</v>
      </c>
      <c r="D55" s="9">
        <v>0</v>
      </c>
      <c r="E55" s="10">
        <v>0</v>
      </c>
      <c r="F55" s="10">
        <v>0</v>
      </c>
      <c r="G55" s="10">
        <v>0</v>
      </c>
      <c r="H55" s="10">
        <v>15.789949999999999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</row>
    <row r="56" spans="1:15" hidden="1" x14ac:dyDescent="0.3">
      <c r="C56" s="6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</row>
    <row r="57" spans="1:15" hidden="1" x14ac:dyDescent="0.3">
      <c r="C57" s="6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</row>
    <row r="58" spans="1:15" hidden="1" x14ac:dyDescent="0.3">
      <c r="C58" s="6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 spans="1:15" hidden="1" x14ac:dyDescent="0.3">
      <c r="C59" s="6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 spans="1:15" hidden="1" x14ac:dyDescent="0.3">
      <c r="C60" s="6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 spans="1:15" hidden="1" x14ac:dyDescent="0.3">
      <c r="C61" s="6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 spans="1:15" hidden="1" x14ac:dyDescent="0.3">
      <c r="C62" s="6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 spans="1:15" hidden="1" x14ac:dyDescent="0.3">
      <c r="C63" s="6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 spans="1:15" hidden="1" x14ac:dyDescent="0.3">
      <c r="C64" s="6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 spans="3:15" hidden="1" x14ac:dyDescent="0.3">
      <c r="C65" s="6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 spans="3:15" hidden="1" x14ac:dyDescent="0.3">
      <c r="C66" s="6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</sheetData>
  <autoFilter ref="A1:O55" xr:uid="{3525B297-0AAD-4BCA-AF43-9D4C82530DE6}"/>
  <conditionalFormatting sqref="C2:C55">
    <cfRule type="duplicateValues" dxfId="0" priority="1"/>
  </conditionalFormatting>
  <pageMargins left="0.25" right="0.25" top="0.75" bottom="0.75" header="0.3" footer="0.3"/>
  <pageSetup paperSize="9" scale="60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JOIA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Henrique Regenier Santos</dc:creator>
  <cp:lastModifiedBy>Henrique Regenier Santos</cp:lastModifiedBy>
  <dcterms:created xsi:type="dcterms:W3CDTF">2026-05-15T10:50:19Z</dcterms:created>
  <dcterms:modified xsi:type="dcterms:W3CDTF">2026-09-09T17:21:36Z</dcterms:modified>
</cp:coreProperties>
</file>