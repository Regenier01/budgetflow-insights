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95A55CA7-3762-4B0C-95D9-926AC19E5331}" xr6:coauthVersionLast="47" xr6:coauthVersionMax="47" xr10:uidLastSave="{00000000-0000-0000-0000-000000000000}"/>
  <bookViews>
    <workbookView xWindow="-108" yWindow="-108" windowWidth="23256" windowHeight="12456" xr2:uid="{249BD8F4-57E6-4DA0-9D36-EDD8CCD9DE40}"/>
  </bookViews>
  <sheets>
    <sheet name="COVOÁ." sheetId="1" r:id="rId1"/>
  </sheets>
  <definedNames>
    <definedName name="_xlnm._FilterDatabase" localSheetId="0" hidden="1">'COVOÁ.'!$C$1:$O$1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<sst xmlns="http://schemas.openxmlformats.org/spreadsheetml/2006/main" count="46" uniqueCount="38">
  <si>
    <t>Descrição C. Contábil</t>
  </si>
  <si>
    <t>SERVICOS DE TERCEIROS PJ</t>
  </si>
  <si>
    <t>ALIMENTACAO ANIMAL</t>
  </si>
  <si>
    <t>DEPRECIACOES</t>
  </si>
  <si>
    <t>RATEIO VEICULOS PESADOS</t>
  </si>
  <si>
    <t>TAXAS E ANUIDADES</t>
  </si>
  <si>
    <t>RATEIO REBOQUE</t>
  </si>
  <si>
    <t>RATEIO CERQUEIROS</t>
  </si>
  <si>
    <t>HERBICIDAS E DEFENSIVOS</t>
  </si>
  <si>
    <t>VACINAS</t>
  </si>
  <si>
    <t>RATEIO OFICINA</t>
  </si>
  <si>
    <t>RATEIO FABRICA RACAO E SAL</t>
  </si>
  <si>
    <t>COMBUSTIVEIS E LUBRIFICANTES</t>
  </si>
  <si>
    <t>MEDICAMENTOS</t>
  </si>
  <si>
    <t>RATEIO SUPERVISAO PECUARIA</t>
  </si>
  <si>
    <t>4.1.01.11.0001</t>
  </si>
  <si>
    <t>4.1.01.05.0001</t>
  </si>
  <si>
    <t>4.2.01.02.0038</t>
  </si>
  <si>
    <t>4.1.01.21.0013</t>
  </si>
  <si>
    <t>4.2.01.02.0039</t>
  </si>
  <si>
    <t>4.1.01.11.0019</t>
  </si>
  <si>
    <t>4.1.01.11.0002</t>
  </si>
  <si>
    <t>4.2.01.02.0024</t>
  </si>
  <si>
    <t>4.2.01.02.0044</t>
  </si>
  <si>
    <t>4.1.01.04.0001</t>
  </si>
  <si>
    <t>4.1.01.11.0003</t>
  </si>
  <si>
    <t>4.2.01.02.0042</t>
  </si>
  <si>
    <t>4.1.01.11-CUSTOS RURAIS</t>
  </si>
  <si>
    <t>4.1.01.05-DEPRECIACOES, EXAUSTOES E AMORTIZACOES</t>
  </si>
  <si>
    <t>4.2.01.02-RATEIO DE CUSTOS</t>
  </si>
  <si>
    <t>4.1.01.21-OUTROS CUSTOS OPERACIONAIS</t>
  </si>
  <si>
    <t>4.1.01.04-MANUTENCAO E CONSERVACAO DE BENS</t>
  </si>
  <si>
    <t>GRUPO_CONTABIL</t>
  </si>
  <si>
    <t>CONTA_CONTABIL</t>
  </si>
  <si>
    <t>4.1.01.02-SERVICOS DE TERCEIROS</t>
  </si>
  <si>
    <t>4.1.01.01-CUSTO DE PESSOAL</t>
  </si>
  <si>
    <t>4.1.01.04.0003</t>
  </si>
  <si>
    <t>MATERIAIS PARA MANUTENCAO E REFORMA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</si>
</sst>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left"/>
    </xf>
    <xf numFmtId="0" fontId="1" fillId="3" borderId="2" xfId="1" applyFill="1" applyBorder="1"/>
    <xf numFmtId="164" fontId="1" fillId="3" borderId="0" xfId="1" applyNumberFormat="1" applyFill="1"/>
    <xf numFmtId="4" fontId="1" fillId="3" borderId="2" xfId="1" applyNumberFormat="1" applyFill="1" applyBorder="1"/>
    <xf numFmtId="4" fontId="1" fillId="3" borderId="0" xfId="1" applyNumberFormat="1" applyFill="1"/>
    <xf numFmtId="4" fontId="0" fillId="3" borderId="0" xfId="2" applyNumberFormat="1" applyFont="1" applyFill="1"/>
    <xf numFmtId="17" fontId="3" fillId="0" borderId="3" xfId="0" applyNumberFormat="1" applyFont="1" applyBorder="1" applyAlignment="1">
      <alignment horizontal="center" vertical="center"/>
    </xf>
    <xf numFmtId="0" fontId="0" fillId="3" borderId="4" xfId="0" applyFill="1" applyBorder="1"/>
    <xf numFmtId="4" fontId="4" fillId="3" borderId="0" xfId="2" applyNumberFormat="1" applyFont="1" applyFill="1" applyBorder="1"/>
    <xf numFmtId="4" fontId="4" fillId="3" borderId="0" xfId="2" applyNumberFormat="1" applyFont="1" applyFill="1"/>
  </cellXfs>
  <cellStyles count="3">
    <cellStyle name="Moeda 2" xfId="2" xr:uid="{0EE902CF-FB87-4B69-87FA-F22B0CAC8E45}"/>
    <cellStyle name="Normal" xfId="0" builtinId="0"/>
    <cellStyle name="Normal 2" xfId="1" xr:uid="{6B059D2C-A075-4C9D-9188-7FCECE08C19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F7-C74B-430B-B021-F8ABE773B741}">
  <sheetPr>
    <tabColor rgb="FFFF0000"/>
  </sheetPr>
  <dimension ref="A1:P16"/>
  <sheetViews>
    <sheetView tabSelected="1" zoomScale="90" zoomScaleNormal="90" workbookViewId="0">
      <selection activeCell="D2" sqref="D2:O16"/>
    </sheetView>
  </sheetViews>
  <sheetFormatPr defaultColWidth="8.88671875" defaultRowHeight="14.4" x14ac:dyDescent="0.3"/>
  <cols>
    <col min="1" max="1" width="50.21875" style="1" bestFit="1" customWidth="1"/>
    <col min="2" max="2" width="16.21875" style="1" customWidth="1"/>
    <col min="3" max="3" width="40.33203125" style="1" bestFit="1" customWidth="1"/>
    <col min="4" max="8" width="13.6640625" style="1" bestFit="1" customWidth="1"/>
    <col min="9" max="9" width="12.6640625" style="1" bestFit="1" customWidth="1"/>
    <col min="10" max="15" width="13.6640625" style="1" bestFit="1" customWidth="1"/>
    <col min="16" max="16384" width="8.88671875" style="1"/>
  </cols>
  <sheetData>
    <row r="1" spans="1:16" x14ac:dyDescent="0.3">
      <c r="A1" s="1" t="s">
        <v>32</v>
      </c>
      <c r="B1" s="1" t="s">
        <v>33</v>
      </c>
      <c r="C1" s="2" t="s">
        <v>0</v>
      </c>
      <c r="D1" s="8">
        <v>46113</v>
      </c>
      <c r="E1" s="8">
        <v>46143</v>
      </c>
      <c r="F1" s="8">
        <v>46174</v>
      </c>
      <c r="G1" s="8">
        <v>46204</v>
      </c>
      <c r="H1" s="8">
        <v>46235</v>
      </c>
      <c r="I1" s="8">
        <v>46266</v>
      </c>
      <c r="J1" s="8">
        <v>46296</v>
      </c>
      <c r="K1" s="8">
        <v>46327</v>
      </c>
      <c r="L1" s="8">
        <v>46357</v>
      </c>
      <c r="M1" s="8">
        <v>46388</v>
      </c>
      <c r="N1" s="8">
        <v>46419</v>
      </c>
      <c r="O1" s="8">
        <v>46447</v>
      </c>
    </row>
    <row r="2" spans="1:16" x14ac:dyDescent="0.3">
      <c r="A2" t="s">
        <v>34</v>
      </c>
      <c r="C2" s="3" t="s">
        <v>1</v>
      </c>
      <c r="D2" s="5">
        <v>6424.3674000000001</v>
      </c>
      <c r="E2" s="6">
        <v>17029.4663</v>
      </c>
      <c r="F2" s="6">
        <v>8526.2490500000004</v>
      </c>
      <c r="G2" s="6">
        <v>19715.189449999998</v>
      </c>
      <c r="H2" s="6">
        <v>17956.935150000001</v>
      </c>
      <c r="I2" s="6">
        <v>58035.809700000013</v>
      </c>
      <c r="J2" s="6">
        <f>45453.4245+3000</f>
        <v>48453.424500000001</v>
      </c>
      <c r="K2" s="6">
        <v>5540.3705499999996</v>
      </c>
      <c r="L2" s="6">
        <v>17974</v>
      </c>
      <c r="M2" s="6">
        <v>61272.206050000001</v>
      </c>
      <c r="N2" s="7">
        <v>2900.6482999999998</v>
      </c>
      <c r="O2" s="7">
        <v>3668.4516000000003</v>
      </c>
    </row>
    <row r="3" spans="1:16" x14ac:dyDescent="0.3">
      <c r="A3" s="1" t="s">
        <v>31</v>
      </c>
      <c r="B3" s="1" t="s">
        <v>36</v>
      </c>
      <c r="C3" s="9" t="s">
        <v>37</v>
      </c>
      <c r="D3" s="10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10833.33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</row>
    <row r="4" spans="1:16" x14ac:dyDescent="0.3">
      <c r="A4" s="1" t="s">
        <v>27</v>
      </c>
      <c r="B4" s="1" t="s">
        <v>15</v>
      </c>
      <c r="C4" s="3" t="s">
        <v>2</v>
      </c>
      <c r="D4" s="5">
        <v>1051.08761175</v>
      </c>
      <c r="E4" s="6">
        <v>1051.08761175</v>
      </c>
      <c r="F4" s="6">
        <v>1109.5135432500001</v>
      </c>
      <c r="G4" s="6">
        <v>1109.5135432500001</v>
      </c>
      <c r="H4" s="6">
        <v>998.5621889250001</v>
      </c>
      <c r="I4" s="6">
        <v>998.5621889250001</v>
      </c>
      <c r="J4" s="6">
        <v>942.98823540000001</v>
      </c>
      <c r="K4" s="6">
        <v>942.98823540000001</v>
      </c>
      <c r="L4" s="6">
        <v>981.61200000000008</v>
      </c>
      <c r="M4" s="6">
        <v>981.61200000000008</v>
      </c>
      <c r="N4" s="7">
        <v>981.61200000000008</v>
      </c>
      <c r="O4" s="7">
        <v>981.61200000000008</v>
      </c>
    </row>
    <row r="5" spans="1:16" x14ac:dyDescent="0.3">
      <c r="A5" s="1" t="s">
        <v>28</v>
      </c>
      <c r="B5" s="1" t="s">
        <v>16</v>
      </c>
      <c r="C5" s="3" t="s">
        <v>3</v>
      </c>
      <c r="D5" s="5">
        <v>652.02774999999997</v>
      </c>
      <c r="E5" s="6">
        <v>856.33570000000009</v>
      </c>
      <c r="F5" s="6">
        <v>938.08605000000011</v>
      </c>
      <c r="G5" s="6">
        <v>981.77750000000015</v>
      </c>
      <c r="H5" s="6">
        <v>974.8596</v>
      </c>
      <c r="I5" s="6">
        <v>968.45375000000013</v>
      </c>
      <c r="J5" s="6">
        <v>1081.9616500000006</v>
      </c>
      <c r="K5" s="6">
        <v>1081.9616500000006</v>
      </c>
      <c r="L5" s="6">
        <v>1081.9616500000006</v>
      </c>
      <c r="M5" s="6">
        <v>652.02774999999997</v>
      </c>
      <c r="N5" s="7">
        <v>652.02774999999997</v>
      </c>
      <c r="O5" s="7">
        <v>652.43529999999987</v>
      </c>
    </row>
    <row r="6" spans="1:16" x14ac:dyDescent="0.3">
      <c r="A6" s="1" t="s">
        <v>29</v>
      </c>
      <c r="B6" t="s">
        <v>17</v>
      </c>
      <c r="C6" s="3" t="s">
        <v>4</v>
      </c>
      <c r="D6" s="5">
        <v>0</v>
      </c>
      <c r="E6" s="6">
        <v>5026.7217000000001</v>
      </c>
      <c r="F6" s="6">
        <v>0</v>
      </c>
      <c r="G6" s="6">
        <v>0</v>
      </c>
      <c r="H6" s="6">
        <v>0</v>
      </c>
      <c r="I6" s="6">
        <v>0</v>
      </c>
      <c r="J6" s="6">
        <v>4407.8727000000008</v>
      </c>
      <c r="K6" s="6">
        <v>0</v>
      </c>
      <c r="L6" s="6">
        <v>0</v>
      </c>
      <c r="M6" s="6">
        <v>0</v>
      </c>
      <c r="N6" s="7">
        <v>0</v>
      </c>
      <c r="O6" s="7">
        <v>0</v>
      </c>
    </row>
    <row r="7" spans="1:16" x14ac:dyDescent="0.3">
      <c r="A7" s="1" t="s">
        <v>30</v>
      </c>
      <c r="B7" s="1" t="s">
        <v>18</v>
      </c>
      <c r="C7" s="3" t="s">
        <v>5</v>
      </c>
      <c r="D7" s="5">
        <v>0</v>
      </c>
      <c r="E7" s="6">
        <v>0</v>
      </c>
      <c r="F7" s="6">
        <v>0</v>
      </c>
      <c r="G7" s="6">
        <v>106.19290000000001</v>
      </c>
      <c r="H7" s="6">
        <v>2090</v>
      </c>
      <c r="I7" s="6">
        <v>0</v>
      </c>
      <c r="J7" s="6">
        <v>0</v>
      </c>
      <c r="K7" s="6">
        <v>0</v>
      </c>
      <c r="L7" s="6">
        <v>0</v>
      </c>
      <c r="M7" s="6">
        <v>2098.0673999999999</v>
      </c>
      <c r="N7" s="7">
        <v>0</v>
      </c>
      <c r="O7" s="7">
        <v>0</v>
      </c>
    </row>
    <row r="8" spans="1:16" x14ac:dyDescent="0.3">
      <c r="A8" s="1" t="s">
        <v>29</v>
      </c>
      <c r="B8" t="s">
        <v>19</v>
      </c>
      <c r="C8" s="3" t="s">
        <v>6</v>
      </c>
      <c r="D8" s="5">
        <v>0</v>
      </c>
      <c r="E8" s="6">
        <v>1614.2219500000001</v>
      </c>
      <c r="F8" s="6">
        <v>0</v>
      </c>
      <c r="G8" s="6">
        <v>0</v>
      </c>
      <c r="H8" s="6">
        <v>0</v>
      </c>
      <c r="I8" s="6">
        <v>0</v>
      </c>
      <c r="J8" s="6">
        <v>853.3261</v>
      </c>
      <c r="K8" s="6">
        <v>0</v>
      </c>
      <c r="L8" s="6">
        <v>0</v>
      </c>
      <c r="M8" s="6">
        <v>0</v>
      </c>
      <c r="N8" s="7">
        <v>0</v>
      </c>
      <c r="O8" s="7">
        <v>0</v>
      </c>
    </row>
    <row r="9" spans="1:16" x14ac:dyDescent="0.3">
      <c r="A9" t="s">
        <v>35</v>
      </c>
      <c r="C9" s="3" t="s">
        <v>7</v>
      </c>
      <c r="D9" s="6">
        <v>0</v>
      </c>
      <c r="E9" s="6">
        <v>222.59545</v>
      </c>
      <c r="F9" s="6">
        <v>2199.4114999999997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4"/>
    </row>
    <row r="10" spans="1:16" x14ac:dyDescent="0.3">
      <c r="A10" s="1" t="s">
        <v>27</v>
      </c>
      <c r="B10" s="1" t="s">
        <v>20</v>
      </c>
      <c r="C10" s="3" t="s">
        <v>8</v>
      </c>
      <c r="D10" s="5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1599.6859999999999</v>
      </c>
      <c r="K10" s="6">
        <v>799.84299999999996</v>
      </c>
      <c r="L10" s="6">
        <v>0</v>
      </c>
      <c r="M10" s="6">
        <v>0</v>
      </c>
      <c r="N10" s="7">
        <v>0</v>
      </c>
      <c r="O10" s="7">
        <v>0</v>
      </c>
    </row>
    <row r="11" spans="1:16" x14ac:dyDescent="0.3">
      <c r="A11" s="1" t="s">
        <v>27</v>
      </c>
      <c r="B11" s="1" t="s">
        <v>21</v>
      </c>
      <c r="C11" s="3" t="s">
        <v>9</v>
      </c>
      <c r="D11" s="5">
        <v>0</v>
      </c>
      <c r="E11" s="6">
        <v>699.10500000000002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7">
        <v>0</v>
      </c>
    </row>
    <row r="12" spans="1:16" x14ac:dyDescent="0.3">
      <c r="A12" s="1" t="s">
        <v>29</v>
      </c>
      <c r="B12" s="1" t="s">
        <v>22</v>
      </c>
      <c r="C12" s="3" t="s">
        <v>10</v>
      </c>
      <c r="D12" s="5">
        <v>0</v>
      </c>
      <c r="E12" s="6">
        <v>0</v>
      </c>
      <c r="F12" s="6">
        <v>510.34665000000001</v>
      </c>
      <c r="G12" s="6">
        <v>0</v>
      </c>
      <c r="H12" s="6">
        <v>163.04090000000002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7">
        <v>0</v>
      </c>
    </row>
    <row r="13" spans="1:16" x14ac:dyDescent="0.3">
      <c r="A13" s="1" t="s">
        <v>29</v>
      </c>
      <c r="B13" t="s">
        <v>23</v>
      </c>
      <c r="C13" s="3" t="s">
        <v>11</v>
      </c>
      <c r="D13" s="5">
        <v>35.058847499999999</v>
      </c>
      <c r="E13" s="6">
        <v>43.280577025000007</v>
      </c>
      <c r="F13" s="6">
        <v>51.368069475000006</v>
      </c>
      <c r="G13" s="6">
        <v>56.493756987500014</v>
      </c>
      <c r="H13" s="6">
        <v>55.611654274999992</v>
      </c>
      <c r="I13" s="6">
        <v>56.91652052500001</v>
      </c>
      <c r="J13" s="6">
        <v>63.990190350000013</v>
      </c>
      <c r="K13" s="6">
        <v>50.678519424999998</v>
      </c>
      <c r="L13" s="6">
        <v>37.898519387500009</v>
      </c>
      <c r="M13" s="6">
        <v>37.857080775000007</v>
      </c>
      <c r="N13" s="7">
        <v>32.31682215</v>
      </c>
      <c r="O13" s="7">
        <v>46.149832274999994</v>
      </c>
    </row>
    <row r="14" spans="1:16" x14ac:dyDescent="0.3">
      <c r="A14" s="1" t="s">
        <v>31</v>
      </c>
      <c r="B14" s="1" t="s">
        <v>24</v>
      </c>
      <c r="C14" s="3" t="s">
        <v>12</v>
      </c>
      <c r="D14" s="5">
        <v>36.575000000000003</v>
      </c>
      <c r="E14" s="6">
        <v>36.575000000000003</v>
      </c>
      <c r="F14" s="6">
        <v>36.575000000000003</v>
      </c>
      <c r="G14" s="6">
        <v>36.575000000000003</v>
      </c>
      <c r="H14" s="6">
        <v>36.575000000000003</v>
      </c>
      <c r="I14" s="6">
        <v>36.575000000000003</v>
      </c>
      <c r="J14" s="6">
        <v>36.575000000000003</v>
      </c>
      <c r="K14" s="6">
        <v>36.575000000000003</v>
      </c>
      <c r="L14" s="6">
        <v>36.575000000000003</v>
      </c>
      <c r="M14" s="6">
        <v>36.575000000000003</v>
      </c>
      <c r="N14" s="7">
        <v>36.575000000000003</v>
      </c>
      <c r="O14" s="7">
        <v>36.575000000000003</v>
      </c>
    </row>
    <row r="15" spans="1:16" x14ac:dyDescent="0.3">
      <c r="A15" s="1" t="s">
        <v>27</v>
      </c>
      <c r="B15" s="1" t="s">
        <v>25</v>
      </c>
      <c r="C15" s="3" t="s">
        <v>13</v>
      </c>
      <c r="D15" s="5">
        <v>31.35</v>
      </c>
      <c r="E15" s="6">
        <v>31.35</v>
      </c>
      <c r="F15" s="6">
        <v>31.35</v>
      </c>
      <c r="G15" s="6">
        <v>31.35</v>
      </c>
      <c r="H15" s="6">
        <v>31.35</v>
      </c>
      <c r="I15" s="6">
        <v>31.35</v>
      </c>
      <c r="J15" s="6">
        <v>31.35</v>
      </c>
      <c r="K15" s="6">
        <v>31.35</v>
      </c>
      <c r="L15" s="6">
        <v>31.35</v>
      </c>
      <c r="M15" s="6">
        <v>31.35</v>
      </c>
      <c r="N15" s="7">
        <v>31.35</v>
      </c>
      <c r="O15" s="7">
        <v>31.35</v>
      </c>
    </row>
    <row r="16" spans="1:16" x14ac:dyDescent="0.3">
      <c r="A16" s="1" t="s">
        <v>29</v>
      </c>
      <c r="B16" s="1" t="s">
        <v>26</v>
      </c>
      <c r="C16" s="3" t="s">
        <v>14</v>
      </c>
      <c r="D16" s="5">
        <v>1096.6739322999997</v>
      </c>
      <c r="E16" s="6">
        <v>817.91695954999989</v>
      </c>
      <c r="F16" s="6">
        <v>2046.5947922000005</v>
      </c>
      <c r="G16" s="6">
        <v>713.20505524999976</v>
      </c>
      <c r="H16" s="6">
        <v>835.92150179999999</v>
      </c>
      <c r="I16" s="6">
        <v>812.07111809999992</v>
      </c>
      <c r="J16" s="6">
        <v>979.39609810000002</v>
      </c>
      <c r="K16" s="6">
        <v>627.47923185000013</v>
      </c>
      <c r="L16" s="6">
        <v>746.54498694999984</v>
      </c>
      <c r="M16" s="6">
        <v>999.16518334999989</v>
      </c>
      <c r="N16" s="7">
        <v>1045.7847295000004</v>
      </c>
      <c r="O16" s="7">
        <v>1105.0784094000001</v>
      </c>
    </row>
  </sheetData>
  <conditionalFormatting sqref="C3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COVOÁ.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2026-05-15T10:41:35Z</dcterms:created>
  <dcterms:modified xsi:type="dcterms:W3CDTF">2026-09-09T17:24:08Z</dcterms:modified>
</cp:coreProperties>
</file>