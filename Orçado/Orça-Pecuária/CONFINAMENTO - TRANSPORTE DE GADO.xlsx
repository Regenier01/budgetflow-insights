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Orçado\Orça-Pecuária\"/>
    </mc:Choice>
  </mc:AlternateContent>
  <xr:revisionPtr revIDLastSave="0" documentId="13_ncr:1_{48FC6BB1-2094-4AA4-8B7A-24656C9D85DC}" xr6:coauthVersionLast="47" xr6:coauthVersionMax="47" xr10:uidLastSave="{00000000-0000-0000-0000-000000000000}"/>
  <bookViews>
    <workbookView xWindow="-108" yWindow="-108" windowWidth="23256" windowHeight="12456" xr2:uid="{5F79AA13-0E5C-4C30-92D1-4331251A8E10}"/>
  </bookViews>
  <sheets>
    <sheet name="GOTEJO" sheetId="1" r:id="rId1"/>
  </sheets>
  <definedNames>
    <definedName name="_xlnm._FilterDatabase" localSheetId="0" hidden="1">GOTEJO!$C$1:$O$6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6" i="1" l="1"/>
  <c r="N6" i="1"/>
  <c r="M6" i="1"/>
  <c r="L6" i="1"/>
  <c r="K6" i="1"/>
  <c r="J6" i="1"/>
  <c r="I6" i="1"/>
  <c r="H6" i="1"/>
  <c r="G6" i="1"/>
  <c r="F6" i="1"/>
  <c r="E6" i="1"/>
  <c r="D6" i="1"/>
</calcChain>
</file>

<file path=xl/sharedStrings.xml><?xml version="1.0" encoding="utf-8"?>
<sst xmlns="http://schemas.openxmlformats.org/spreadsheetml/2006/main" count="8" uniqueCount="8">
  <si>
    <t>GRUPO_CONTABIL</t>
  </si>
  <si>
    <t>CONTA_CONTABIL</t>
  </si>
  <si>
    <t>Descrição C. Contábil</t>
  </si>
  <si>
    <t>4.2.01.02-RATEIO DE CUSTOS</t>
  </si>
  <si>
    <t>4.2.01.02.0038</t>
  </si>
  <si>
    <t>RATEIO VEICULOS PESADOS</t>
  </si>
  <si>
    <t>4.1.01.02-SERVICOS DE TERCEIROS</t>
  </si>
  <si>
    <t>SERVICOS DE TERCEIROS 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</si>
</sst>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\ #,##0.00"/>
  </numFmts>
  <fonts count="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sz val="11"/>
      <name val="Calibri"/>
      <family val="2"/>
      <scheme val="minor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0" xfId="2"/>
    <xf numFmtId="0" fontId="3" fillId="2" borderId="1" xfId="2" applyFont="1" applyFill="1" applyBorder="1" applyAlignment="1">
      <alignment horizontal="left"/>
    </xf>
    <xf numFmtId="17" fontId="4" fillId="0" borderId="2" xfId="0" applyNumberFormat="1" applyFont="1" applyBorder="1" applyAlignment="1">
      <alignment horizontal="center" vertical="center"/>
    </xf>
    <xf numFmtId="0" fontId="1" fillId="0" borderId="0" xfId="3"/>
    <xf numFmtId="0" fontId="0" fillId="3" borderId="3" xfId="0" applyFill="1" applyBorder="1"/>
    <xf numFmtId="44" fontId="0" fillId="0" borderId="0" xfId="4" applyFont="1" applyAlignment="1">
      <alignment horizontal="center" vertical="center"/>
    </xf>
    <xf numFmtId="164" fontId="1" fillId="0" borderId="0" xfId="3" applyNumberFormat="1"/>
    <xf numFmtId="164" fontId="5" fillId="4" borderId="0" xfId="3" applyNumberFormat="1" applyFont="1" applyFill="1"/>
    <xf numFmtId="44" fontId="0" fillId="0" borderId="0" xfId="4" applyFont="1"/>
    <xf numFmtId="44" fontId="1" fillId="0" borderId="0" xfId="3" applyNumberFormat="1"/>
    <xf numFmtId="4" fontId="6" fillId="5" borderId="4" xfId="1" applyNumberFormat="1" applyFont="1" applyFill="1" applyBorder="1" applyAlignment="1">
      <alignment horizontal="center" vertical="center"/>
    </xf>
  </cellXfs>
  <cellStyles count="5">
    <cellStyle name="Moeda 3" xfId="4" xr:uid="{DF8A1F99-280C-4115-A217-3A6CBDAB6C33}"/>
    <cellStyle name="Normal" xfId="0" builtinId="0"/>
    <cellStyle name="Normal 2" xfId="2" xr:uid="{33B16B15-6332-4005-BC1D-A332439B055A}"/>
    <cellStyle name="Normal 3" xfId="3" xr:uid="{5C176793-D3DC-49FA-8B8E-298360FEBC70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26E3C-40A3-4D45-A7AC-C444522EAA10}">
  <sheetPr>
    <tabColor rgb="FFFF0000"/>
  </sheetPr>
  <dimension ref="A1:O15"/>
  <sheetViews>
    <sheetView tabSelected="1" zoomScale="90" zoomScaleNormal="90" workbookViewId="0">
      <pane ySplit="1" topLeftCell="A2" activePane="bottomLeft" state="frozen"/>
      <selection pane="bottomLeft" activeCell="C8" sqref="C8"/>
    </sheetView>
  </sheetViews>
  <sheetFormatPr defaultColWidth="8.88671875" defaultRowHeight="14.4" x14ac:dyDescent="0.3"/>
  <cols>
    <col min="1" max="1" width="33.33203125" style="4" bestFit="1" customWidth="1"/>
    <col min="2" max="2" width="16.77734375" style="4" bestFit="1" customWidth="1"/>
    <col min="3" max="3" width="27.6640625" style="4" bestFit="1" customWidth="1"/>
    <col min="4" max="6" width="9.77734375" style="4" bestFit="1" customWidth="1"/>
    <col min="7" max="7" width="12.21875" style="4" bestFit="1" customWidth="1"/>
    <col min="8" max="10" width="9.77734375" style="4" bestFit="1" customWidth="1"/>
    <col min="11" max="11" width="12.21875" style="4" bestFit="1" customWidth="1"/>
    <col min="12" max="13" width="9.77734375" style="4" bestFit="1" customWidth="1"/>
    <col min="14" max="14" width="12.21875" style="4" bestFit="1" customWidth="1"/>
    <col min="15" max="15" width="9.77734375" style="4" bestFit="1" customWidth="1"/>
    <col min="16" max="16384" width="8.88671875" style="4"/>
  </cols>
  <sheetData>
    <row r="1" spans="1:15" x14ac:dyDescent="0.3">
      <c r="A1" s="1" t="s">
        <v>0</v>
      </c>
      <c r="B1" s="1" t="s">
        <v>1</v>
      </c>
      <c r="C1" s="2" t="s">
        <v>2</v>
      </c>
      <c r="D1" s="3">
        <v>46113</v>
      </c>
      <c r="E1" s="3">
        <v>46143</v>
      </c>
      <c r="F1" s="3">
        <v>46174</v>
      </c>
      <c r="G1" s="3">
        <v>46204</v>
      </c>
      <c r="H1" s="3">
        <v>46235</v>
      </c>
      <c r="I1" s="3">
        <v>46266</v>
      </c>
      <c r="J1" s="3">
        <v>46296</v>
      </c>
      <c r="K1" s="3">
        <v>46327</v>
      </c>
      <c r="L1" s="3">
        <v>46357</v>
      </c>
      <c r="M1" s="3">
        <v>46388</v>
      </c>
      <c r="N1" s="3">
        <v>46419</v>
      </c>
      <c r="O1" s="3">
        <v>46447</v>
      </c>
    </row>
    <row r="2" spans="1:15" x14ac:dyDescent="0.3">
      <c r="A2" s="1" t="s">
        <v>3</v>
      </c>
      <c r="B2" s="1" t="s">
        <v>4</v>
      </c>
      <c r="C2" s="5" t="s">
        <v>5</v>
      </c>
      <c r="D2" s="11">
        <v>255226.86666666667</v>
      </c>
      <c r="E2" s="11">
        <v>152935</v>
      </c>
      <c r="F2" s="11">
        <v>255115.13333333333</v>
      </c>
      <c r="G2" s="11">
        <v>159918.33333333331</v>
      </c>
      <c r="H2" s="11">
        <v>159289.83333333334</v>
      </c>
      <c r="I2" s="11">
        <v>0</v>
      </c>
      <c r="J2" s="11">
        <v>0</v>
      </c>
      <c r="K2" s="11">
        <v>0</v>
      </c>
      <c r="L2" s="11">
        <v>0</v>
      </c>
      <c r="M2" s="11">
        <v>139666.66666666666</v>
      </c>
      <c r="N2" s="11">
        <v>157125</v>
      </c>
      <c r="O2" s="11">
        <v>157125</v>
      </c>
    </row>
    <row r="3" spans="1:15" x14ac:dyDescent="0.3">
      <c r="A3" t="s">
        <v>6</v>
      </c>
      <c r="C3" s="5" t="s">
        <v>7</v>
      </c>
      <c r="D3" s="11">
        <v>243200</v>
      </c>
      <c r="E3" s="11">
        <v>228000</v>
      </c>
      <c r="F3" s="11">
        <v>114000</v>
      </c>
      <c r="G3" s="11">
        <v>121600</v>
      </c>
      <c r="H3" s="11">
        <v>136800</v>
      </c>
      <c r="I3" s="11">
        <v>243200</v>
      </c>
      <c r="J3" s="11">
        <v>323000</v>
      </c>
      <c r="K3" s="11">
        <v>304000</v>
      </c>
      <c r="L3" s="11">
        <v>266000</v>
      </c>
      <c r="M3" s="11">
        <v>152000</v>
      </c>
      <c r="N3" s="11">
        <v>171000</v>
      </c>
      <c r="O3" s="11">
        <v>171000</v>
      </c>
    </row>
    <row r="4" spans="1:15" x14ac:dyDescent="0.3">
      <c r="D4" s="6"/>
      <c r="E4" s="6"/>
      <c r="F4" s="6"/>
      <c r="G4" s="6"/>
      <c r="I4" s="7"/>
      <c r="J4" s="7"/>
      <c r="K4" s="7"/>
      <c r="L4" s="7"/>
      <c r="M4" s="7"/>
      <c r="N4" s="7"/>
      <c r="O4" s="7"/>
    </row>
    <row r="5" spans="1:15" hidden="1" x14ac:dyDescent="0.3">
      <c r="D5" s="8">
        <v>0</v>
      </c>
      <c r="E5" s="8">
        <v>0</v>
      </c>
      <c r="F5" s="8">
        <v>0</v>
      </c>
      <c r="G5" s="8">
        <v>2052.96</v>
      </c>
      <c r="H5" s="8">
        <v>0</v>
      </c>
      <c r="I5" s="8">
        <v>0</v>
      </c>
      <c r="J5" s="8">
        <v>0</v>
      </c>
      <c r="K5" s="8">
        <v>9139.52</v>
      </c>
      <c r="L5" s="8">
        <v>0</v>
      </c>
      <c r="M5" s="8">
        <v>0</v>
      </c>
      <c r="N5" s="8">
        <v>2579.2000000000003</v>
      </c>
      <c r="O5" s="8">
        <v>0</v>
      </c>
    </row>
    <row r="6" spans="1:15" hidden="1" x14ac:dyDescent="0.3">
      <c r="D6" s="6">
        <f>(D5*5%)+D5</f>
        <v>0</v>
      </c>
      <c r="E6" s="6">
        <f t="shared" ref="E6:O6" si="0">(E5*5%)+E5</f>
        <v>0</v>
      </c>
      <c r="F6" s="6">
        <f t="shared" si="0"/>
        <v>0</v>
      </c>
      <c r="G6" s="6">
        <f t="shared" si="0"/>
        <v>2155.6080000000002</v>
      </c>
      <c r="H6" s="6">
        <f t="shared" si="0"/>
        <v>0</v>
      </c>
      <c r="I6" s="6">
        <f t="shared" si="0"/>
        <v>0</v>
      </c>
      <c r="J6" s="6">
        <f t="shared" si="0"/>
        <v>0</v>
      </c>
      <c r="K6" s="6">
        <f t="shared" si="0"/>
        <v>9596.496000000001</v>
      </c>
      <c r="L6" s="6">
        <f t="shared" si="0"/>
        <v>0</v>
      </c>
      <c r="M6" s="6">
        <f t="shared" si="0"/>
        <v>0</v>
      </c>
      <c r="N6" s="6">
        <f t="shared" si="0"/>
        <v>2708.1600000000003</v>
      </c>
      <c r="O6" s="6">
        <f t="shared" si="0"/>
        <v>0</v>
      </c>
    </row>
    <row r="7" spans="1:15" x14ac:dyDescent="0.3">
      <c r="D7" s="9"/>
      <c r="E7" s="10"/>
      <c r="F7" s="10"/>
    </row>
    <row r="8" spans="1:15" x14ac:dyDescent="0.3">
      <c r="D8" s="9"/>
      <c r="E8" s="10"/>
      <c r="F8" s="10"/>
      <c r="G8" s="7"/>
      <c r="H8" s="7"/>
      <c r="I8" s="7"/>
      <c r="J8" s="7"/>
      <c r="K8" s="7"/>
      <c r="L8" s="7"/>
      <c r="M8" s="7"/>
      <c r="N8" s="7"/>
      <c r="O8" s="7"/>
    </row>
    <row r="9" spans="1:15" x14ac:dyDescent="0.3">
      <c r="D9" s="9"/>
      <c r="E9" s="10"/>
      <c r="F9" s="10"/>
      <c r="G9" s="7"/>
      <c r="H9" s="7"/>
      <c r="I9" s="7"/>
      <c r="J9" s="7"/>
      <c r="K9" s="7"/>
      <c r="L9" s="7"/>
      <c r="M9" s="7"/>
      <c r="N9" s="7"/>
      <c r="O9" s="7"/>
    </row>
    <row r="15" spans="1:15" x14ac:dyDescent="0.3">
      <c r="D15" s="9"/>
      <c r="E15" s="10"/>
      <c r="F15" s="10"/>
    </row>
  </sheetData>
  <conditionalFormatting sqref="C2">
    <cfRule type="duplicateValues" dxfId="1" priority="2"/>
  </conditionalFormatting>
  <conditionalFormatting sqref="C3">
    <cfRule type="duplicateValues" dxfId="0" priority="1"/>
  </conditionalFormatting>
  <pageMargins left="0.23622047244094491" right="0.23622047244094491" top="0.74803149606299213" bottom="0.74803149606299213" header="0.31496062992125984" footer="0.31496062992125984"/>
  <pageSetup paperSize="9" scale="65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GOTEJO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2026-05-15T13:43:51Z</dcterms:created>
  <dcterms:modified xsi:type="dcterms:W3CDTF">2026-05-15T13:45:42Z</dcterms:modified>
</cp:coreProperties>
</file>