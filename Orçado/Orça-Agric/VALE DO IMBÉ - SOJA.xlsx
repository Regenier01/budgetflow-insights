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17FAE132-4E58-4D09-8594-49F00D4B7973}" xr6:coauthVersionLast="47" xr6:coauthVersionMax="47" xr10:uidLastSave="{00000000-0000-0000-0000-000000000000}"/>
  <bookViews>
    <workbookView xWindow="-20520" yWindow="1920" windowWidth="20640" windowHeight="11040" xr2:uid="{331CC308-C46B-4A11-B53C-C499BE65FEEC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<sst xmlns="http://schemas.openxmlformats.org/spreadsheetml/2006/main" count="16" uniqueCount="16">
  <si>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GRUPO_CONTABIL</t>
  </si>
  <si>
    <t>CONTA_CONTABIL</t>
  </si>
  <si>
    <t>Descrição C. Contábil</t>
  </si>
  <si>
    <t>4.1.01.02.0002</t>
  </si>
  <si>
    <t>4.1.01.03.0006</t>
  </si>
  <si>
    <t>4.1.01.04.0001</t>
  </si>
  <si>
    <t>4.1.01.04.0002</t>
  </si>
  <si>
    <t>4.1.01.04.0005</t>
  </si>
  <si>
    <t>4.1.01.05.0001</t>
  </si>
  <si>
    <t>4.1.01.11.0015</t>
  </si>
  <si>
    <t>4.1.01.11.0017</t>
  </si>
  <si>
    <t>4.1.01.11.0019</t>
  </si>
  <si>
    <t>4.1.01.21.0002</t>
  </si>
  <si>
    <t>4.1.01.21.0012</t>
  </si>
  <si>
    <t>4.1.01.21.0020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</si>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</sst>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E60C47B2-62C5-4CF5-95E6-C436B20F8310}"/>
    <cellStyle name="Normal 3" xfId="2" xr:uid="{688D0C85-F463-4F32-9A86-BA387E05EB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1760-A774-4DE7-A2B2-EC01EAEC5E64}">
  <dimension ref="A1:O14"/>
  <sheetViews>
    <sheetView tabSelected="1" workbookViewId="0">
      <selection activeCell="C4" sqref="C4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14">_xlfn.XLOOKUP(B2:B14,[1]Planilha3!$G$2:$G$24,[1]Planilha3!$F$2:$F$24,"")</f>
        <v>4.1.01.02-SERVICOS DE TERCEIROS</v>
      </c>
      <c r="B2" s="4" t="s">
        <v>3</v>
      </c>
      <c r="C2" t="str" cm="1">
        <f t="array" ref="C2:C14">_xlfn.XLOOKUP(B2:B14,[1]Planilha3!$G$2:$G$24,[1]Planilha3!$H$2:$H$24,"")</f>
        <v>SERVICOS DE TERCEIROS PJ</v>
      </c>
      <c r="D2" s="5">
        <v>63500</v>
      </c>
      <c r="E2" s="5">
        <v>0</v>
      </c>
      <c r="F2" s="5">
        <v>0</v>
      </c>
      <c r="G2" s="5">
        <v>0</v>
      </c>
      <c r="H2" s="5">
        <v>4904</v>
      </c>
      <c r="I2" s="5">
        <v>0</v>
      </c>
      <c r="J2" s="5">
        <v>5302</v>
      </c>
      <c r="K2" s="5">
        <v>15487</v>
      </c>
      <c r="L2" s="5">
        <v>3200</v>
      </c>
      <c r="M2" s="5">
        <v>5800</v>
      </c>
      <c r="N2" s="5">
        <v>5200</v>
      </c>
      <c r="O2" s="5">
        <v>355706.59308551392</v>
      </c>
    </row>
    <row r="3" spans="1:15" x14ac:dyDescent="0.3">
      <c r="A3" t="str">
        <v>4.1.01.03-LOCACOES</v>
      </c>
      <c r="B3" s="4" t="s">
        <v>4</v>
      </c>
      <c r="C3" t="str">
        <v>LOCACOES DE AREAS AGRICOLAS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706514.97373099986</v>
      </c>
    </row>
    <row r="4" spans="1:15" x14ac:dyDescent="0.3">
      <c r="A4" t="str">
        <v>4.1.01.04-MANUTENCAO E CONSERVACAO DE BENS</v>
      </c>
      <c r="B4" s="4" t="s">
        <v>5</v>
      </c>
      <c r="C4" t="str">
        <v>COMBUSTIVEIS E LUBRIFICANTES</v>
      </c>
      <c r="D4" s="5"/>
      <c r="E4" s="5"/>
      <c r="F4" s="5"/>
      <c r="G4" s="5"/>
      <c r="H4" s="5"/>
      <c r="I4" s="5"/>
      <c r="J4" s="5"/>
      <c r="K4" s="5"/>
      <c r="L4" s="5"/>
      <c r="M4" s="5">
        <v>10384.74</v>
      </c>
      <c r="N4" s="5">
        <v>10384.74</v>
      </c>
      <c r="O4" s="5">
        <v>10384.74</v>
      </c>
    </row>
    <row r="5" spans="1:15" x14ac:dyDescent="0.3">
      <c r="A5" t="str">
        <v>4.1.01.04-MANUTENCAO E CONSERVACAO DE BENS</v>
      </c>
      <c r="B5" s="4" t="s">
        <v>6</v>
      </c>
      <c r="C5" t="str">
        <v>COMBUSTIVEIS E LUBRIFICANTES</v>
      </c>
      <c r="D5" s="5"/>
      <c r="E5" s="5"/>
      <c r="F5" s="5"/>
      <c r="G5" s="5"/>
      <c r="H5" s="5"/>
      <c r="I5" s="5"/>
      <c r="J5" s="5"/>
      <c r="K5" s="5">
        <v>2993</v>
      </c>
      <c r="L5" s="5">
        <v>2993</v>
      </c>
      <c r="M5" s="5"/>
      <c r="N5" s="5">
        <v>2993</v>
      </c>
      <c r="O5" s="5"/>
    </row>
    <row r="6" spans="1:15" x14ac:dyDescent="0.3">
      <c r="A6" t="str">
        <v>4.1.01.04-MANUTENCAO E CONSERVACAO DE BENS</v>
      </c>
      <c r="B6" s="4" t="s">
        <v>7</v>
      </c>
      <c r="C6" t="str">
        <v>MATERIAIS DE CONSERVACAO E LIMPEZA</v>
      </c>
      <c r="D6" s="5"/>
      <c r="E6" s="5"/>
      <c r="F6" s="5"/>
      <c r="G6" s="5"/>
      <c r="H6" s="5"/>
      <c r="I6" s="5"/>
      <c r="J6" s="5"/>
      <c r="K6" s="5"/>
      <c r="L6" s="5">
        <v>28</v>
      </c>
      <c r="M6" s="5"/>
      <c r="N6" s="5"/>
      <c r="O6" s="5"/>
    </row>
    <row r="7" spans="1:15" x14ac:dyDescent="0.3">
      <c r="A7" t="str">
        <v>4.1.01.05-DEPRECIACOES, EXAUSTOES E AMORTIZACOES</v>
      </c>
      <c r="B7" s="4" t="s">
        <v>8</v>
      </c>
      <c r="C7" t="str">
        <v>DEPRECIACOES</v>
      </c>
      <c r="D7" s="5">
        <v>4093.49</v>
      </c>
      <c r="E7" s="5">
        <v>4093.49</v>
      </c>
      <c r="F7" s="5">
        <v>4093.49</v>
      </c>
      <c r="G7" s="5">
        <v>4093.49</v>
      </c>
      <c r="H7" s="5">
        <v>4093.49</v>
      </c>
      <c r="I7" s="5">
        <v>4093.49</v>
      </c>
      <c r="J7" s="5">
        <v>4093.49</v>
      </c>
      <c r="K7" s="5">
        <v>4093.49</v>
      </c>
      <c r="L7" s="5">
        <v>4093.49</v>
      </c>
      <c r="M7" s="5">
        <v>4093.49</v>
      </c>
      <c r="N7" s="5">
        <v>4093.49</v>
      </c>
      <c r="O7" s="5">
        <v>4093.49</v>
      </c>
    </row>
    <row r="8" spans="1:15" x14ac:dyDescent="0.3">
      <c r="A8" t="str">
        <v>4.1.01.11-CUSTOS RURAIS</v>
      </c>
      <c r="B8" s="4" t="s">
        <v>9</v>
      </c>
      <c r="C8" t="str">
        <v xml:space="preserve">SEMENTES E MUDAS </v>
      </c>
      <c r="D8" s="5"/>
      <c r="E8" s="5"/>
      <c r="F8" s="5"/>
      <c r="G8" s="5"/>
      <c r="H8" s="5"/>
      <c r="I8" s="5"/>
      <c r="J8" s="5"/>
      <c r="K8" s="5">
        <v>578570.05500000005</v>
      </c>
      <c r="L8" s="5"/>
      <c r="M8" s="5"/>
      <c r="N8" s="5">
        <v>126463.39999999998</v>
      </c>
      <c r="O8" s="5"/>
    </row>
    <row r="9" spans="1:15" x14ac:dyDescent="0.3">
      <c r="A9" t="str">
        <v>4.1.01.11-CUSTOS RURAIS</v>
      </c>
      <c r="B9" s="4" t="s">
        <v>10</v>
      </c>
      <c r="C9" t="str">
        <v>FERTILIZANTES</v>
      </c>
      <c r="D9" s="5"/>
      <c r="E9" s="5"/>
      <c r="F9" s="5"/>
      <c r="G9" s="5"/>
      <c r="H9" s="5">
        <v>439008.66</v>
      </c>
      <c r="I9" s="5">
        <v>669352.71</v>
      </c>
      <c r="J9" s="5"/>
      <c r="K9" s="5"/>
      <c r="L9" s="5"/>
      <c r="M9" s="5"/>
      <c r="N9" s="5"/>
      <c r="O9" s="5"/>
    </row>
    <row r="10" spans="1:15" x14ac:dyDescent="0.3">
      <c r="A10" t="str">
        <v>4.1.01.11-CUSTOS RURAIS</v>
      </c>
      <c r="B10" s="4" t="s">
        <v>11</v>
      </c>
      <c r="C10" t="str">
        <v>HERBICIDAS E DEFENSIVOS</v>
      </c>
      <c r="D10" s="5">
        <v>13301.239749999999</v>
      </c>
      <c r="E10" s="5"/>
      <c r="F10" s="5"/>
      <c r="G10" s="5"/>
      <c r="H10" s="5"/>
      <c r="I10" s="5"/>
      <c r="J10" s="5"/>
      <c r="K10" s="5">
        <v>213954.39336000002</v>
      </c>
      <c r="L10" s="5">
        <v>237422.64008680001</v>
      </c>
      <c r="M10" s="5">
        <v>210598.98145999998</v>
      </c>
      <c r="N10" s="5">
        <v>369076.20642</v>
      </c>
      <c r="O10" s="5">
        <v>25635.937799999996</v>
      </c>
    </row>
    <row r="11" spans="1:15" x14ac:dyDescent="0.3">
      <c r="A11" t="str">
        <v>4.1.01.21-OUTROS CUSTOS OPERACIONAIS</v>
      </c>
      <c r="B11" s="4" t="s">
        <v>12</v>
      </c>
      <c r="C11" t="str">
        <v>TAXAS E ANUIDADES</v>
      </c>
      <c r="D11" s="5">
        <v>490.25</v>
      </c>
      <c r="E11" s="5">
        <v>490.25</v>
      </c>
      <c r="F11" s="5">
        <v>490.25</v>
      </c>
      <c r="G11" s="5">
        <v>490.25</v>
      </c>
      <c r="H11" s="5">
        <v>490.25</v>
      </c>
      <c r="I11" s="5">
        <v>490.25</v>
      </c>
      <c r="J11" s="5">
        <v>490.25</v>
      </c>
      <c r="K11" s="5">
        <v>490.25</v>
      </c>
      <c r="L11" s="5">
        <v>490.25</v>
      </c>
      <c r="M11" s="5">
        <v>490.25</v>
      </c>
      <c r="N11" s="5">
        <v>490.25</v>
      </c>
      <c r="O11" s="5"/>
    </row>
    <row r="12" spans="1:15" x14ac:dyDescent="0.3">
      <c r="A12" t="str">
        <v>4.1.01.21-OUTROS CUSTOS OPERACIONAIS</v>
      </c>
      <c r="B12" s="4" t="s">
        <v>13</v>
      </c>
      <c r="C12" t="str">
        <v>LANCHES E REFEICOES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490.25</v>
      </c>
    </row>
    <row r="13" spans="1:15" x14ac:dyDescent="0.3">
      <c r="A13" t="str">
        <v>4.1.01.21-OUTROS CUSTOS OPERACIONAIS</v>
      </c>
      <c r="B13" s="4" t="s">
        <v>14</v>
      </c>
      <c r="C13" t="str">
        <v>OUTROS CUSTOS OPERACIONAIS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>
        <v>0</v>
      </c>
    </row>
    <row r="14" spans="1:15" x14ac:dyDescent="0.3">
      <c r="A14" t="str">
        <v>4.2.01.02-RATEIO DE CUSTOS</v>
      </c>
      <c r="B14" s="4" t="s">
        <v>15</v>
      </c>
      <c r="C14" t="str">
        <v>RATEIO RECEBIDO</v>
      </c>
      <c r="D14" s="5">
        <v>109435.07523316734</v>
      </c>
      <c r="E14" s="5">
        <v>140511.26876218311</v>
      </c>
      <c r="F14" s="5">
        <v>131661.57787950913</v>
      </c>
      <c r="G14" s="5">
        <v>112795.78964252131</v>
      </c>
      <c r="H14" s="5">
        <v>117807.80534718557</v>
      </c>
      <c r="I14" s="5">
        <v>125196.46205321005</v>
      </c>
      <c r="J14" s="5">
        <v>133932.72792098043</v>
      </c>
      <c r="K14" s="5">
        <v>173806.02481654278</v>
      </c>
      <c r="L14" s="5">
        <v>146817.66088774748</v>
      </c>
      <c r="M14" s="5">
        <v>165759.53266968156</v>
      </c>
      <c r="N14" s="5">
        <v>160961.7602150616</v>
      </c>
      <c r="O14" s="5">
        <v>308256.58931986568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2026-05-15T17:05:41Z</dcterms:created>
  <dcterms:modified xsi:type="dcterms:W3CDTF">2026-05-15T17:05:52Z</dcterms:modified>
</cp:coreProperties>
</file>