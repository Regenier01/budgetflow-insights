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Orçado\Orça-Agric\"/>
    </mc:Choice>
  </mc:AlternateContent>
  <xr:revisionPtr revIDLastSave="0" documentId="8_{71380437-958B-4BAE-923D-DB7C7EC50163}" xr6:coauthVersionLast="47" xr6:coauthVersionMax="47" xr10:uidLastSave="{00000000-0000-0000-0000-000000000000}"/>
  <bookViews>
    <workbookView xWindow="-20520" yWindow="1920" windowWidth="20640" windowHeight="11040" xr2:uid="{1193E4E4-8D35-4517-8468-E41FAFFD768E}"/>
  </bookViews>
  <sheets>
    <sheet name="Planilh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1" l="1" a="1"/>
  <c r="C2" i="1" s="1"/>
  <c r="A2" i="1" a="1"/>
  <c r="A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<sst xmlns="http://schemas.openxmlformats.org/spreadsheetml/2006/main" count="7" uniqueCount="7">
  <si>
    <t>GRUPO_CONTABIL</t>
  </si>
  <si>
    <t>CONTA_CONTABIL</t>
  </si>
  <si>
    <t>Descrição C. Contábil</t>
  </si>
  <si>
    <t>4.1.01.02.0004</t>
  </si>
  <si>
    <t>4.1.01.11.0017</t>
  </si>
  <si>
    <t>4.1.01.11.0019</t>
  </si>
  <si>
    <t>4.2.01.02.0001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</si>
</sst>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6">
    <xf numFmtId="0" fontId="0" fillId="0" borderId="0" xfId="0"/>
    <xf numFmtId="0" fontId="1" fillId="0" borderId="0" xfId="1"/>
    <xf numFmtId="0" fontId="2" fillId="2" borderId="1" xfId="2" applyFont="1" applyFill="1" applyBorder="1"/>
    <xf numFmtId="17" fontId="3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left" indent="1"/>
    </xf>
    <xf numFmtId="4" fontId="0" fillId="0" borderId="0" xfId="0" applyNumberFormat="1"/>
  </cellXfs>
  <cellStyles count="3">
    <cellStyle name="Normal" xfId="0" builtinId="0"/>
    <cellStyle name="Normal 2" xfId="1" xr:uid="{91D4B136-CF17-4557-BF32-D5AC31449AAE}"/>
    <cellStyle name="Normal 3" xfId="2" xr:uid="{24471426-CAF6-4CEC-855B-6C4EE94EC1F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esktop/GR&#195;AAOOOS.xlsx" TargetMode="External"/><Relationship Id="rId2" Type="http://schemas.openxmlformats.org/officeDocument/2006/relationships/externalLinkPath" Target="file:///C:\Users\henrique.santos\Desktop\GR&#195;AAOOOS.xlsx" TargetMode="External"/><Relationship Id="rId1" Type="http://schemas.openxmlformats.org/officeDocument/2006/relationships/externalLinkPath" Target="/Users/henrique.santos/Desktop/GR&#195;AAOO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  <sheetName val="Planilha2"/>
      <sheetName val="Planilha3"/>
    </sheetNames>
    <sheetDataSet>
      <sheetData sheetId="0"/>
      <sheetData sheetId="1"/>
      <sheetData sheetId="2">
        <row r="2">
          <cell r="F2" t="str">
            <v>4.1.01.02-SERVICOS DE TERCEIROS</v>
          </cell>
          <cell r="G2" t="str">
            <v>4.1.01.02.0004</v>
          </cell>
          <cell r="H2" t="str">
            <v>FRETES E CARRETOS PJ</v>
          </cell>
        </row>
        <row r="3">
          <cell r="F3" t="str">
            <v>4.1.01.04-MANUTENCAO E CONSERVACAO DE BENS</v>
          </cell>
          <cell r="G3" t="str">
            <v>4.1.01.04.0001</v>
          </cell>
          <cell r="H3" t="str">
            <v>COMBUSTIVEIS E LUBRIFICANTES</v>
          </cell>
        </row>
        <row r="4">
          <cell r="F4" t="str">
            <v>4.1.01.04-MANUTENCAO E CONSERVACAO DE BENS</v>
          </cell>
          <cell r="G4" t="str">
            <v>4.1.01.04.0002</v>
          </cell>
          <cell r="H4" t="str">
            <v>COMBUSTIVEIS E LUBRIFICANTES</v>
          </cell>
        </row>
        <row r="5">
          <cell r="F5" t="str">
            <v>4.1.01.11-CUSTOS RURAIS</v>
          </cell>
          <cell r="G5" t="str">
            <v>4.1.01.11.0017</v>
          </cell>
          <cell r="H5" t="str">
            <v>FERTILIZANTES</v>
          </cell>
        </row>
        <row r="6">
          <cell r="F6" t="str">
            <v>4.1.01.11-CUSTOS RURAIS</v>
          </cell>
          <cell r="G6" t="str">
            <v>4.1.01.11.0019</v>
          </cell>
          <cell r="H6" t="str">
            <v>HERBICIDAS E DEFENSIVOS</v>
          </cell>
        </row>
        <row r="7">
          <cell r="F7" t="str">
            <v>4.2.01.02-RATEIO DE CUSTOS</v>
          </cell>
          <cell r="G7" t="str">
            <v>4.2.01.02.0001</v>
          </cell>
          <cell r="H7" t="str">
            <v>RATEIO RECEBIDO</v>
          </cell>
        </row>
        <row r="8">
          <cell r="F8" t="str">
            <v>4.1.01.02-SERVICOS DE TERCEIROS</v>
          </cell>
          <cell r="G8" t="str">
            <v>4.1.01.02.0002</v>
          </cell>
          <cell r="H8" t="str">
            <v>SERVICOS DE TERCEIROS PJ</v>
          </cell>
        </row>
        <row r="9">
          <cell r="F9" t="str">
            <v>4.1.01.04-MANUTENCAO E CONSERVACAO DE BENS</v>
          </cell>
          <cell r="G9" t="str">
            <v>4.1.01.04.0002</v>
          </cell>
          <cell r="H9" t="str">
            <v>PECAS, ACESSORIOS E MATERIAIS</v>
          </cell>
        </row>
        <row r="10">
          <cell r="F10" t="str">
            <v>4.1.01.11-CUSTOS RURAIS</v>
          </cell>
          <cell r="G10" t="str">
            <v>4.1.01.11.0015</v>
          </cell>
          <cell r="H10" t="str">
            <v xml:space="preserve">SEMENTES E MUDAS </v>
          </cell>
        </row>
        <row r="11">
          <cell r="F11" t="str">
            <v>4.1.01.03-LOCACOES</v>
          </cell>
          <cell r="G11" t="str">
            <v>4.1.01.03.0010</v>
          </cell>
          <cell r="H11" t="str">
            <v>LOCACOES DE MAQUINAS E EQUIPAMENTOS</v>
          </cell>
        </row>
        <row r="12">
          <cell r="F12" t="str">
            <v>4.1.01.11-CUSTOS RURAIS</v>
          </cell>
          <cell r="G12" t="str">
            <v>4.1.01.11.0015</v>
          </cell>
          <cell r="H12" t="str">
            <v>SEMENTES E MUDAS</v>
          </cell>
        </row>
        <row r="13">
          <cell r="F13" t="str">
            <v>4.1.01.02-SERVICOS DE TERCEIROS</v>
          </cell>
          <cell r="G13" t="str">
            <v>4.1.01.02.0002</v>
          </cell>
          <cell r="H13" t="str">
            <v>FRETES E CARRETOS PJ</v>
          </cell>
        </row>
        <row r="14">
          <cell r="F14" t="str">
            <v>4.1.01.04-MANUTENCAO E CONSERVACAO DE BENS</v>
          </cell>
          <cell r="G14" t="str">
            <v>4.1.01.04.0005</v>
          </cell>
          <cell r="H14" t="str">
            <v>MATERIAIS DE CONSERVACAO E LIMPEZA</v>
          </cell>
        </row>
        <row r="15">
          <cell r="F15" t="str">
            <v>4.1.01.21-OUTROS CUSTOS OPERACIONAIS</v>
          </cell>
          <cell r="G15" t="str">
            <v>4.1.01.21.0002</v>
          </cell>
          <cell r="H15" t="str">
            <v>TAXAS E ANUIDADES</v>
          </cell>
        </row>
        <row r="16">
          <cell r="F16" t="str">
            <v>4.1.01.21-OUTROS CUSTOS OPERACIONAIS</v>
          </cell>
          <cell r="G16" t="str">
            <v>4.1.01.21.0002</v>
          </cell>
          <cell r="H16" t="str">
            <v>EQUIPAMENTOS DE SEGURANCA NO TRABALHO</v>
          </cell>
        </row>
        <row r="17">
          <cell r="F17" t="str">
            <v>4.1.01.21-OUTROS CUSTOS OPERACIONAIS</v>
          </cell>
          <cell r="G17" t="str">
            <v>4.1.01.21.0012</v>
          </cell>
          <cell r="H17" t="str">
            <v>LANCHES E REFEICOES</v>
          </cell>
        </row>
        <row r="18">
          <cell r="F18" t="str">
            <v>4.1.01.02-SERVICOS DE TERCEIROS</v>
          </cell>
          <cell r="G18" t="str">
            <v>4.1.01.02.0004</v>
          </cell>
          <cell r="H18" t="str">
            <v>SERVIÇOS DE TERCEIROS PJ</v>
          </cell>
        </row>
        <row r="19">
          <cell r="F19" t="str">
            <v>4.1.01.11-CUSTOS RURAIS</v>
          </cell>
          <cell r="G19" t="str">
            <v>4.1.01.11.0017</v>
          </cell>
          <cell r="H19" t="str">
            <v>HERBICIDAS E DEFENSIVOS</v>
          </cell>
        </row>
        <row r="20">
          <cell r="F20" t="str">
            <v>4.1.01.03-LOCACOES</v>
          </cell>
          <cell r="G20" t="str">
            <v>4.1.01.03.0006</v>
          </cell>
          <cell r="H20" t="str">
            <v>LOCACOES DE AREAS AGRICOLAS</v>
          </cell>
        </row>
        <row r="21">
          <cell r="F21" t="str">
            <v>4.1.01.21-OUTROS CUSTOS OPERACIONAIS</v>
          </cell>
          <cell r="G21" t="str">
            <v>4.1.01.21.0002</v>
          </cell>
          <cell r="H21" t="str">
            <v>LANCHES E REFEICOES</v>
          </cell>
        </row>
        <row r="22">
          <cell r="F22" t="str">
            <v>4.1.01.11-CUSTOS RURAIS</v>
          </cell>
          <cell r="G22" t="str">
            <v>4.1.01.11.0019</v>
          </cell>
          <cell r="H22" t="str">
            <v>SEMENTES E MUDAS</v>
          </cell>
        </row>
        <row r="23">
          <cell r="F23" t="str">
            <v>4.1.01.05-DEPRECIACOES, EXAUSTOES E AMORTIZACOES</v>
          </cell>
          <cell r="G23" t="str">
            <v>4.1.01.05.0001</v>
          </cell>
          <cell r="H23" t="str">
            <v>DEPRECIACOES</v>
          </cell>
        </row>
        <row r="24">
          <cell r="F24" t="str">
            <v>4.1.01.21-OUTROS CUSTOS OPERACIONAIS</v>
          </cell>
          <cell r="G24" t="str">
            <v>4.1.01.21.0020</v>
          </cell>
          <cell r="H24" t="str">
            <v>OUTROS CUSTOS OPERACIONAIS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00A2C-729F-43C4-AB14-B841C9E135C3}">
  <dimension ref="A1:O5"/>
  <sheetViews>
    <sheetView tabSelected="1" workbookViewId="0">
      <selection activeCell="A3" sqref="A3"/>
    </sheetView>
  </sheetViews>
  <sheetFormatPr defaultRowHeight="14.4" x14ac:dyDescent="0.3"/>
  <cols>
    <col min="1" max="1" width="44.5546875" bestFit="1" customWidth="1"/>
    <col min="2" max="2" width="16.33203125" bestFit="1" customWidth="1"/>
    <col min="3" max="3" width="35.44140625" bestFit="1" customWidth="1"/>
    <col min="4" max="6" width="9.109375" bestFit="1" customWidth="1"/>
    <col min="7" max="8" width="10.109375" bestFit="1" customWidth="1"/>
    <col min="9" max="10" width="9.109375" bestFit="1" customWidth="1"/>
    <col min="11" max="14" width="10.109375" bestFit="1" customWidth="1"/>
    <col min="15" max="15" width="11.6640625" bestFit="1" customWidth="1"/>
  </cols>
  <sheetData>
    <row r="1" spans="1:15" x14ac:dyDescent="0.3">
      <c r="A1" s="1" t="s">
        <v>0</v>
      </c>
      <c r="B1" s="1" t="s">
        <v>1</v>
      </c>
      <c r="C1" s="2" t="s">
        <v>2</v>
      </c>
      <c r="D1" s="3">
        <v>46113</v>
      </c>
      <c r="E1" s="3">
        <v>46143</v>
      </c>
      <c r="F1" s="3">
        <v>46174</v>
      </c>
      <c r="G1" s="3">
        <v>46204</v>
      </c>
      <c r="H1" s="3">
        <v>46235</v>
      </c>
      <c r="I1" s="3">
        <v>46266</v>
      </c>
      <c r="J1" s="3">
        <v>46296</v>
      </c>
      <c r="K1" s="3">
        <v>46327</v>
      </c>
      <c r="L1" s="3">
        <v>46357</v>
      </c>
      <c r="M1" s="3">
        <v>46388</v>
      </c>
      <c r="N1" s="3">
        <v>46419</v>
      </c>
      <c r="O1" s="3">
        <v>46447</v>
      </c>
    </row>
    <row r="2" spans="1:15" x14ac:dyDescent="0.3">
      <c r="A2" t="str" cm="1">
        <f t="array" ref="A2:A5">_xlfn.XLOOKUP(B2:B5,[1]Planilha3!$G$2:$G$24,[1]Planilha3!$F$2:$F$24,"")</f>
        <v>4.1.01.02-SERVICOS DE TERCEIROS</v>
      </c>
      <c r="B2" s="4" t="s">
        <v>3</v>
      </c>
      <c r="C2" t="str" cm="1">
        <f t="array" ref="C2:C5">_xlfn.XLOOKUP(B2:B5,[1]Planilha3!$G$2:$G$24,[1]Planilha3!$H$2:$H$24,"")</f>
        <v>FRETES E CARRETOS PJ</v>
      </c>
      <c r="D2" s="5"/>
      <c r="E2" s="5"/>
      <c r="F2" s="5"/>
      <c r="G2" s="5">
        <v>15224.999999999998</v>
      </c>
      <c r="H2" s="5"/>
      <c r="I2" s="5"/>
      <c r="J2" s="5"/>
      <c r="K2" s="5"/>
      <c r="L2" s="5"/>
      <c r="M2" s="5"/>
      <c r="N2" s="5"/>
      <c r="O2" s="5"/>
    </row>
    <row r="3" spans="1:15" x14ac:dyDescent="0.3">
      <c r="A3" t="str">
        <v>4.1.01.11-CUSTOS RURAIS</v>
      </c>
      <c r="B3" s="4" t="s">
        <v>4</v>
      </c>
      <c r="C3" t="str">
        <v>FERTILIZANTES</v>
      </c>
      <c r="D3" s="5"/>
      <c r="E3" s="5"/>
      <c r="F3" s="5"/>
      <c r="G3" s="5"/>
      <c r="H3" s="5"/>
      <c r="I3" s="5"/>
      <c r="J3" s="5"/>
      <c r="K3" s="5"/>
      <c r="L3" s="5"/>
      <c r="M3" s="5"/>
      <c r="N3" s="5">
        <v>40680</v>
      </c>
      <c r="O3" s="5">
        <v>0</v>
      </c>
    </row>
    <row r="4" spans="1:15" x14ac:dyDescent="0.3">
      <c r="A4" t="str">
        <v>4.1.01.11-CUSTOS RURAIS</v>
      </c>
      <c r="B4" s="4" t="s">
        <v>5</v>
      </c>
      <c r="C4" t="str">
        <v>HERBICIDAS E DEFENSIVOS</v>
      </c>
      <c r="D4" s="5"/>
      <c r="E4" s="5"/>
      <c r="F4" s="5"/>
      <c r="G4" s="5"/>
      <c r="H4" s="5"/>
      <c r="I4" s="5"/>
      <c r="J4" s="5"/>
      <c r="K4" s="5"/>
      <c r="L4" s="5"/>
      <c r="M4" s="5"/>
      <c r="N4" s="5">
        <v>30037.5</v>
      </c>
      <c r="O4" s="5">
        <v>13481.9</v>
      </c>
    </row>
    <row r="5" spans="1:15" x14ac:dyDescent="0.3">
      <c r="A5" t="str">
        <v>4.2.01.02-RATEIO DE CUSTOS</v>
      </c>
      <c r="B5" s="4" t="s">
        <v>6</v>
      </c>
      <c r="C5" t="str">
        <v>RATEIO RECEBIDO</v>
      </c>
      <c r="D5" s="5">
        <v>3000</v>
      </c>
      <c r="E5" s="5"/>
      <c r="F5" s="5"/>
      <c r="G5" s="5">
        <v>17500</v>
      </c>
      <c r="H5" s="5"/>
      <c r="I5" s="5"/>
      <c r="J5" s="5"/>
      <c r="K5" s="5"/>
      <c r="L5" s="5"/>
      <c r="M5" s="5"/>
      <c r="N5" s="5">
        <v>21245.75</v>
      </c>
      <c r="O5" s="5">
        <v>3000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2026-05-15T17:10:11Z</dcterms:created>
  <dcterms:modified xsi:type="dcterms:W3CDTF">2026-05-15T17:10:20Z</dcterms:modified>
</cp:coreProperties>
</file>