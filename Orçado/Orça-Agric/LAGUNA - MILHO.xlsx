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Agric\"/>
    </mc:Choice>
  </mc:AlternateContent>
  <xr:revisionPtr revIDLastSave="0" documentId="8_{595709D4-6FC8-46A7-BA41-8AD8A0862A06}" xr6:coauthVersionLast="47" xr6:coauthVersionMax="47" xr10:uidLastSave="{00000000-0000-0000-0000-000000000000}"/>
  <bookViews>
    <workbookView xWindow="-20520" yWindow="1920" windowWidth="20640" windowHeight="11040" xr2:uid="{29C1654A-FD79-4587-BBD8-6FE9A1B5A336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 a="1"/>
  <c r="C2" i="1" s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<sst xmlns="http://schemas.openxmlformats.org/spreadsheetml/2006/main" count="10" uniqueCount="10">
  <si>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GRUPO_CONTABIL</t>
  </si>
  <si>
    <t>CONTA_CONTABIL</t>
  </si>
  <si>
    <t>Descrição C. Contábil</t>
  </si>
  <si>
    <t>4.1.01.02.0004</t>
  </si>
  <si>
    <t>4.1.01.03.0010</t>
  </si>
  <si>
    <t>4.1.01.04.0001</t>
  </si>
  <si>
    <t>4.1.01.11.0015</t>
  </si>
  <si>
    <t>4.1.01.11.0017</t>
  </si>
  <si>
    <t>4.1.01.11.0019</t>
  </si>
  <si>
    <t>4.2.01.02.0001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</si>
</sst>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2" fillId="2" borderId="1" xfId="2" applyFont="1" applyFill="1" applyBorder="1"/>
    <xf numFmtId="17" fontId="3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left" indent="1"/>
    </xf>
    <xf numFmtId="4" fontId="0" fillId="0" borderId="0" xfId="0" applyNumberFormat="1"/>
  </cellXfs>
  <cellStyles count="3">
    <cellStyle name="Normal" xfId="0" builtinId="0"/>
    <cellStyle name="Normal 2" xfId="1" xr:uid="{15A6D74A-F7C6-4152-82ED-8A0310D05A37}"/>
    <cellStyle name="Normal 3" xfId="2" xr:uid="{D871E28A-DFEF-4B1E-A9A3-8B257C88F1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esktop/GR&#195;AAOOOS.xlsx" TargetMode="External"/><Relationship Id="rId2" Type="http://schemas.openxmlformats.org/officeDocument/2006/relationships/externalLinkPath" Target="file:///C:\Users\henrique.santos\Desktop\GR&#195;AAOOOS.xlsx" TargetMode="External"/><Relationship Id="rId1" Type="http://schemas.openxmlformats.org/officeDocument/2006/relationships/externalLinkPath" Target="/Users/henrique.santos/Desktop/GR&#195;AAOO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lanilha1"/>
      <sheetName val="Planilha2"/>
      <sheetName val="Planilha3"/>
    </sheetNames>
    <sheetDataSet>
      <sheetData sheetId="0"/>
      <sheetData sheetId="1"/>
      <sheetData sheetId="2">
        <row r="2">
          <cell r="F2" t="str">
            <v>4.1.01.02-SERVICOS DE TERCEIROS</v>
          </cell>
          <cell r="G2" t="str">
            <v>4.1.01.02.0004</v>
          </cell>
          <cell r="H2" t="str">
            <v>FRETES E CARRETOS PJ</v>
          </cell>
        </row>
        <row r="3">
          <cell r="F3" t="str">
            <v>4.1.01.04-MANUTENCAO E CONSERVACAO DE BENS</v>
          </cell>
          <cell r="G3" t="str">
            <v>4.1.01.04.0001</v>
          </cell>
          <cell r="H3" t="str">
            <v>COMBUSTIVEIS E LUBRIFICANTES</v>
          </cell>
        </row>
        <row r="4">
          <cell r="F4" t="str">
            <v>4.1.01.04-MANUTENCAO E CONSERVACAO DE BENS</v>
          </cell>
          <cell r="G4" t="str">
            <v>4.1.01.04.0002</v>
          </cell>
          <cell r="H4" t="str">
            <v>COMBUSTIVEIS E LUBRIFICANTES</v>
          </cell>
        </row>
        <row r="5">
          <cell r="F5" t="str">
            <v>4.1.01.11-CUSTOS RURAIS</v>
          </cell>
          <cell r="G5" t="str">
            <v>4.1.01.11.0017</v>
          </cell>
          <cell r="H5" t="str">
            <v>FERTILIZANTES</v>
          </cell>
        </row>
        <row r="6">
          <cell r="F6" t="str">
            <v>4.1.01.11-CUSTOS RURAIS</v>
          </cell>
          <cell r="G6" t="str">
            <v>4.1.01.11.0019</v>
          </cell>
          <cell r="H6" t="str">
            <v>HERBICIDAS E DEFENSIVOS</v>
          </cell>
        </row>
        <row r="7">
          <cell r="F7" t="str">
            <v>4.2.01.02-RATEIO DE CUSTOS</v>
          </cell>
          <cell r="G7" t="str">
            <v>4.2.01.02.0001</v>
          </cell>
          <cell r="H7" t="str">
            <v>RATEIO RECEBIDO</v>
          </cell>
        </row>
        <row r="8">
          <cell r="F8" t="str">
            <v>4.1.01.02-SERVICOS DE TERCEIROS</v>
          </cell>
          <cell r="G8" t="str">
            <v>4.1.01.02.0002</v>
          </cell>
          <cell r="H8" t="str">
            <v>SERVICOS DE TERCEIROS PJ</v>
          </cell>
        </row>
        <row r="9">
          <cell r="F9" t="str">
            <v>4.1.01.04-MANUTENCAO E CONSERVACAO DE BENS</v>
          </cell>
          <cell r="G9" t="str">
            <v>4.1.01.04.0002</v>
          </cell>
          <cell r="H9" t="str">
            <v>PECAS, ACESSORIOS E MATERIAIS</v>
          </cell>
        </row>
        <row r="10">
          <cell r="F10" t="str">
            <v>4.1.01.11-CUSTOS RURAIS</v>
          </cell>
          <cell r="G10" t="str">
            <v>4.1.01.11.0015</v>
          </cell>
          <cell r="H10" t="str">
            <v xml:space="preserve">SEMENTES E MUDAS </v>
          </cell>
        </row>
        <row r="11">
          <cell r="F11" t="str">
            <v>4.1.01.03-LOCACOES</v>
          </cell>
          <cell r="G11" t="str">
            <v>4.1.01.03.0010</v>
          </cell>
          <cell r="H11" t="str">
            <v>LOCACOES DE MAQUINAS E EQUIPAMENTOS</v>
          </cell>
        </row>
        <row r="12">
          <cell r="F12" t="str">
            <v>4.1.01.11-CUSTOS RURAIS</v>
          </cell>
          <cell r="G12" t="str">
            <v>4.1.01.11.0015</v>
          </cell>
          <cell r="H12" t="str">
            <v>SEMENTES E MUDAS</v>
          </cell>
        </row>
        <row r="13">
          <cell r="F13" t="str">
            <v>4.1.01.02-SERVICOS DE TERCEIROS</v>
          </cell>
          <cell r="G13" t="str">
            <v>4.1.01.02.0002</v>
          </cell>
          <cell r="H13" t="str">
            <v>FRETES E CARRETOS PJ</v>
          </cell>
        </row>
        <row r="14">
          <cell r="F14" t="str">
            <v>4.1.01.04-MANUTENCAO E CONSERVACAO DE BENS</v>
          </cell>
          <cell r="G14" t="str">
            <v>4.1.01.04.0005</v>
          </cell>
          <cell r="H14" t="str">
            <v>MATERIAIS DE CONSERVACAO E LIMPEZA</v>
          </cell>
        </row>
        <row r="15">
          <cell r="F15" t="str">
            <v>4.1.01.21-OUTROS CUSTOS OPERACIONAIS</v>
          </cell>
          <cell r="G15" t="str">
            <v>4.1.01.21.0002</v>
          </cell>
          <cell r="H15" t="str">
            <v>TAXAS E ANUIDADES</v>
          </cell>
        </row>
        <row r="16">
          <cell r="F16" t="str">
            <v>4.1.01.21-OUTROS CUSTOS OPERACIONAIS</v>
          </cell>
          <cell r="G16" t="str">
            <v>4.1.01.21.0002</v>
          </cell>
          <cell r="H16" t="str">
            <v>EQUIPAMENTOS DE SEGURANCA NO TRABALHO</v>
          </cell>
        </row>
        <row r="17">
          <cell r="F17" t="str">
            <v>4.1.01.21-OUTROS CUSTOS OPERACIONAIS</v>
          </cell>
          <cell r="G17" t="str">
            <v>4.1.01.21.0012</v>
          </cell>
          <cell r="H17" t="str">
            <v>LANCHES E REFEICOES</v>
          </cell>
        </row>
        <row r="18">
          <cell r="F18" t="str">
            <v>4.1.01.02-SERVICOS DE TERCEIROS</v>
          </cell>
          <cell r="G18" t="str">
            <v>4.1.01.02.0004</v>
          </cell>
          <cell r="H18" t="str">
            <v>SERVIÇOS DE TERCEIROS PJ</v>
          </cell>
        </row>
        <row r="19">
          <cell r="F19" t="str">
            <v>4.1.01.11-CUSTOS RURAIS</v>
          </cell>
          <cell r="G19" t="str">
            <v>4.1.01.11.0017</v>
          </cell>
          <cell r="H19" t="str">
            <v>HERBICIDAS E DEFENSIVOS</v>
          </cell>
        </row>
        <row r="20">
          <cell r="F20" t="str">
            <v>4.1.01.03-LOCACOES</v>
          </cell>
          <cell r="G20" t="str">
            <v>4.1.01.03.0006</v>
          </cell>
          <cell r="H20" t="str">
            <v>LOCACOES DE AREAS AGRICOLAS</v>
          </cell>
        </row>
        <row r="21">
          <cell r="F21" t="str">
            <v>4.1.01.21-OUTROS CUSTOS OPERACIONAIS</v>
          </cell>
          <cell r="G21" t="str">
            <v>4.1.01.21.0002</v>
          </cell>
          <cell r="H21" t="str">
            <v>LANCHES E REFEICOES</v>
          </cell>
        </row>
        <row r="22">
          <cell r="F22" t="str">
            <v>4.1.01.11-CUSTOS RURAIS</v>
          </cell>
          <cell r="G22" t="str">
            <v>4.1.01.11.0019</v>
          </cell>
          <cell r="H22" t="str">
            <v>SEMENTES E MUDAS</v>
          </cell>
        </row>
        <row r="23">
          <cell r="F23" t="str">
            <v>4.1.01.05-DEPRECIACOES, EXAUSTOES E AMORTIZACOES</v>
          </cell>
          <cell r="G23" t="str">
            <v>4.1.01.05.0001</v>
          </cell>
          <cell r="H23" t="str">
            <v>DEPRECIACOES</v>
          </cell>
        </row>
        <row r="24">
          <cell r="F24" t="str">
            <v>4.1.01.21-OUTROS CUSTOS OPERACIONAIS</v>
          </cell>
          <cell r="G24" t="str">
            <v>4.1.01.21.0020</v>
          </cell>
          <cell r="H24" t="str">
            <v>OUTROS CUSTOS OPERACIONAIS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9FB28-F78B-4415-BABD-0803ACEBF7AA}">
  <dimension ref="A1:O8"/>
  <sheetViews>
    <sheetView tabSelected="1" workbookViewId="0">
      <selection activeCell="B3" sqref="B3"/>
    </sheetView>
  </sheetViews>
  <sheetFormatPr defaultRowHeight="14.4" x14ac:dyDescent="0.3"/>
  <cols>
    <col min="1" max="1" width="44.5546875" bestFit="1" customWidth="1"/>
    <col min="2" max="2" width="16.33203125" bestFit="1" customWidth="1"/>
    <col min="3" max="3" width="35.44140625" bestFit="1" customWidth="1"/>
    <col min="4" max="6" width="9.109375" bestFit="1" customWidth="1"/>
    <col min="7" max="8" width="10.109375" bestFit="1" customWidth="1"/>
    <col min="9" max="10" width="9.109375" bestFit="1" customWidth="1"/>
    <col min="11" max="14" width="10.109375" bestFit="1" customWidth="1"/>
    <col min="15" max="15" width="11.6640625" bestFit="1" customWidth="1"/>
  </cols>
  <sheetData>
    <row r="1" spans="1:15" x14ac:dyDescent="0.3">
      <c r="A1" s="1" t="s">
        <v>0</v>
      </c>
      <c r="B1" s="1" t="s">
        <v>1</v>
      </c>
      <c r="C1" s="2" t="s">
        <v>2</v>
      </c>
      <c r="D1" s="3">
        <v>46113</v>
      </c>
      <c r="E1" s="3">
        <v>46143</v>
      </c>
      <c r="F1" s="3">
        <v>46174</v>
      </c>
      <c r="G1" s="3">
        <v>46204</v>
      </c>
      <c r="H1" s="3">
        <v>46235</v>
      </c>
      <c r="I1" s="3">
        <v>46266</v>
      </c>
      <c r="J1" s="3">
        <v>46296</v>
      </c>
      <c r="K1" s="3">
        <v>46327</v>
      </c>
      <c r="L1" s="3">
        <v>46357</v>
      </c>
      <c r="M1" s="3">
        <v>46388</v>
      </c>
      <c r="N1" s="3">
        <v>46419</v>
      </c>
      <c r="O1" s="3">
        <v>46447</v>
      </c>
    </row>
    <row r="2" spans="1:15" x14ac:dyDescent="0.3">
      <c r="A2" t="str" cm="1">
        <f t="array" ref="A2:A8">_xlfn.XLOOKUP(B2:B8,[1]Planilha3!$G$2:$G$24,[1]Planilha3!$F$2:$F$24,"")</f>
        <v>4.1.01.02-SERVICOS DE TERCEIROS</v>
      </c>
      <c r="B2" s="4" t="s">
        <v>3</v>
      </c>
      <c r="C2" t="str" cm="1">
        <f t="array" ref="C2:C8">_xlfn.XLOOKUP(B2:B8,[1]Planilha3!$G$2:$G$24,[1]Planilha3!$H$2:$H$24,"")</f>
        <v>FRETES E CARRETOS PJ</v>
      </c>
      <c r="D2" s="5"/>
      <c r="E2" s="5"/>
      <c r="F2" s="5"/>
      <c r="G2" s="5">
        <v>64161.04</v>
      </c>
      <c r="H2" s="5"/>
      <c r="I2" s="5"/>
      <c r="J2" s="5"/>
      <c r="K2" s="5"/>
      <c r="L2" s="5"/>
      <c r="M2" s="5"/>
      <c r="N2" s="5"/>
      <c r="O2" s="5"/>
    </row>
    <row r="3" spans="1:15" x14ac:dyDescent="0.3">
      <c r="A3" t="str">
        <v>4.1.01.03-LOCACOES</v>
      </c>
      <c r="B3" s="4" t="s">
        <v>4</v>
      </c>
      <c r="C3" t="str">
        <v>LOCACOES DE MAQUINAS E EQUIPAMENTOS</v>
      </c>
      <c r="D3" s="5">
        <v>0</v>
      </c>
      <c r="E3" s="5">
        <v>0</v>
      </c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x14ac:dyDescent="0.3">
      <c r="A4" t="str">
        <v>4.1.01.04-MANUTENCAO E CONSERVACAO DE BENS</v>
      </c>
      <c r="B4" s="4" t="s">
        <v>5</v>
      </c>
      <c r="C4" t="str">
        <v>COMBUSTIVEIS E LUBRIFICANTES</v>
      </c>
      <c r="D4" s="5"/>
      <c r="E4" s="5"/>
      <c r="F4" s="5">
        <v>0</v>
      </c>
      <c r="G4" s="5"/>
      <c r="H4" s="5"/>
      <c r="I4" s="5"/>
      <c r="J4" s="5"/>
      <c r="K4" s="5"/>
      <c r="L4" s="5"/>
      <c r="M4" s="5"/>
      <c r="N4" s="5"/>
      <c r="O4" s="5"/>
    </row>
    <row r="5" spans="1:15" x14ac:dyDescent="0.3">
      <c r="A5" t="str">
        <v>4.1.01.11-CUSTOS RURAIS</v>
      </c>
      <c r="B5" s="4" t="s">
        <v>6</v>
      </c>
      <c r="C5" t="str">
        <v xml:space="preserve">SEMENTES E MUDAS </v>
      </c>
      <c r="D5" s="5">
        <v>132055.92300000001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3">
      <c r="A6" t="str">
        <v>4.1.01.11-CUSTOS RURAIS</v>
      </c>
      <c r="B6" s="4" t="s">
        <v>7</v>
      </c>
      <c r="C6" t="str">
        <v>FERTILIZANTES</v>
      </c>
      <c r="D6" s="5">
        <v>224182.50210000001</v>
      </c>
      <c r="E6" s="5">
        <v>0</v>
      </c>
      <c r="F6" s="5"/>
      <c r="G6" s="5"/>
      <c r="H6" s="5"/>
      <c r="I6" s="5"/>
      <c r="J6" s="5"/>
      <c r="K6" s="5"/>
      <c r="L6" s="5"/>
      <c r="M6" s="5"/>
      <c r="N6" s="5"/>
      <c r="O6" s="5">
        <v>0</v>
      </c>
    </row>
    <row r="7" spans="1:15" x14ac:dyDescent="0.3">
      <c r="A7" t="str">
        <v>4.1.01.11-CUSTOS RURAIS</v>
      </c>
      <c r="B7" s="4" t="s">
        <v>8</v>
      </c>
      <c r="C7" t="str">
        <v>HERBICIDAS E DEFENSIVOS</v>
      </c>
      <c r="D7" s="5">
        <v>26702.908087500004</v>
      </c>
      <c r="E7" s="5">
        <v>16555.147500000003</v>
      </c>
      <c r="F7" s="5"/>
      <c r="G7" s="5">
        <v>0</v>
      </c>
      <c r="H7" s="5"/>
      <c r="I7" s="5"/>
      <c r="J7" s="5"/>
      <c r="K7" s="5"/>
      <c r="L7" s="5"/>
      <c r="M7" s="5"/>
      <c r="N7" s="5"/>
      <c r="O7" s="5">
        <v>35013.700424999995</v>
      </c>
    </row>
    <row r="8" spans="1:15" x14ac:dyDescent="0.3">
      <c r="A8" t="str">
        <v>4.2.01.02-RATEIO DE CUSTOS</v>
      </c>
      <c r="B8" s="4" t="s">
        <v>9</v>
      </c>
      <c r="C8" t="str">
        <v>RATEIO RECEBIDO</v>
      </c>
      <c r="D8" s="5">
        <v>71248.664332437475</v>
      </c>
      <c r="E8" s="5">
        <v>51878.652061877605</v>
      </c>
      <c r="F8" s="5">
        <v>63470.624046271609</v>
      </c>
      <c r="G8" s="5">
        <v>46010.454914158137</v>
      </c>
      <c r="H8" s="5">
        <v>29604.152343632049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33206.781716996971</v>
      </c>
      <c r="O8" s="5">
        <v>157356.36084189595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2026-05-15T17:07:17Z</dcterms:created>
  <dcterms:modified xsi:type="dcterms:W3CDTF">2026-05-15T17:07:27Z</dcterms:modified>
</cp:coreProperties>
</file>