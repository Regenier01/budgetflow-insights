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Agric\"/>
    </mc:Choice>
  </mc:AlternateContent>
  <xr:revisionPtr revIDLastSave="0" documentId="8_{0B1024C3-06AE-4246-B0DF-0ECB06FE8AE4}" xr6:coauthVersionLast="47" xr6:coauthVersionMax="47" xr10:uidLastSave="{00000000-0000-0000-0000-000000000000}"/>
  <bookViews>
    <workbookView xWindow="-20520" yWindow="1920" windowWidth="20640" windowHeight="11040" xr2:uid="{328E79C7-E11B-43ED-89F4-CB3604C7A494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<sst xmlns="http://schemas.openxmlformats.org/spreadsheetml/2006/main" count="16" uniqueCount="16">
  <si>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GRUPO_CONTABIL</t>
  </si>
  <si>
    <t>CONTA_CONTABIL</t>
  </si>
  <si>
    <t>Descrição C. Contábil</t>
  </si>
  <si>
    <t>4.1.01.02.0002</t>
  </si>
  <si>
    <t>4.1.01.03.0006</t>
  </si>
  <si>
    <t>4.1.01.04.0001</t>
  </si>
  <si>
    <t>4.1.01.04.0002</t>
  </si>
  <si>
    <t>4.1.01.04.0005</t>
  </si>
  <si>
    <t>4.1.01.05.0001</t>
  </si>
  <si>
    <t>4.1.01.11.0015</t>
  </si>
  <si>
    <t>4.1.01.11.0017</t>
  </si>
  <si>
    <t>4.1.01.11.0019</t>
  </si>
  <si>
    <t>4.1.01.21.0002</t>
  </si>
  <si>
    <t>4.1.01.21.0012</t>
  </si>
  <si>
    <t>4.1.01.21.0020</t>
  </si>
  <si>
    <t>4.2.01.02.0001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</si>
</sst>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2" fillId="2" borderId="1" xfId="2" applyFont="1" applyFill="1" applyBorder="1"/>
    <xf numFmtId="17" fontId="3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3">
    <cellStyle name="Normal" xfId="0" builtinId="0"/>
    <cellStyle name="Normal 2" xfId="1" xr:uid="{E87C9865-7A0E-44D2-B353-395B0C9981A3}"/>
    <cellStyle name="Normal 3" xfId="2" xr:uid="{7548F19A-E098-41C8-8158-1AE7EE915A4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GR&#195;AAOOOS.xlsx" TargetMode="External"/><Relationship Id="rId2" Type="http://schemas.openxmlformats.org/officeDocument/2006/relationships/externalLinkPath" Target="file:///C:\Users\henrique.santos\Desktop\GR&#195;AAOOOS.xlsx" TargetMode="External"/><Relationship Id="rId1" Type="http://schemas.openxmlformats.org/officeDocument/2006/relationships/externalLinkPath" Target="/Users/henrique.santos/Desktop/GR&#195;AAOO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Planilha2"/>
      <sheetName val="Planilha3"/>
    </sheetNames>
    <sheetDataSet>
      <sheetData sheetId="0"/>
      <sheetData sheetId="1"/>
      <sheetData sheetId="2">
        <row r="2">
          <cell r="F2" t="str">
            <v>4.1.01.02-SERVICOS DE TERCEIROS</v>
          </cell>
          <cell r="G2" t="str">
            <v>4.1.01.02.0004</v>
          </cell>
          <cell r="H2" t="str">
            <v>FRETES E CARRETOS PJ</v>
          </cell>
        </row>
        <row r="3">
          <cell r="F3" t="str">
            <v>4.1.01.04-MANUTENCAO E CONSERVACAO DE BENS</v>
          </cell>
          <cell r="G3" t="str">
            <v>4.1.01.04.0001</v>
          </cell>
          <cell r="H3" t="str">
            <v>COMBUSTIVEIS E LUBRIFICANTES</v>
          </cell>
        </row>
        <row r="4">
          <cell r="F4" t="str">
            <v>4.1.01.04-MANUTENCAO E CONSERVACAO DE BENS</v>
          </cell>
          <cell r="G4" t="str">
            <v>4.1.01.04.0002</v>
          </cell>
          <cell r="H4" t="str">
            <v>COMBUSTIVEIS E LUBRIFICANTES</v>
          </cell>
        </row>
        <row r="5">
          <cell r="F5" t="str">
            <v>4.1.01.11-CUSTOS RURAIS</v>
          </cell>
          <cell r="G5" t="str">
            <v>4.1.01.11.0017</v>
          </cell>
          <cell r="H5" t="str">
            <v>FERTILIZANTES</v>
          </cell>
        </row>
        <row r="6">
          <cell r="F6" t="str">
            <v>4.1.01.11-CUSTOS RURAIS</v>
          </cell>
          <cell r="G6" t="str">
            <v>4.1.01.11.0019</v>
          </cell>
          <cell r="H6" t="str">
            <v>HERBICIDAS E DEFENSIVOS</v>
          </cell>
        </row>
        <row r="7">
          <cell r="F7" t="str">
            <v>4.2.01.02-RATEIO DE CUSTOS</v>
          </cell>
          <cell r="G7" t="str">
            <v>4.2.01.02.0001</v>
          </cell>
          <cell r="H7" t="str">
            <v>RATEIO RECEBIDO</v>
          </cell>
        </row>
        <row r="8">
          <cell r="F8" t="str">
            <v>4.1.01.02-SERVICOS DE TERCEIROS</v>
          </cell>
          <cell r="G8" t="str">
            <v>4.1.01.02.0002</v>
          </cell>
          <cell r="H8" t="str">
            <v>SERVICOS DE TERCEIROS PJ</v>
          </cell>
        </row>
        <row r="9">
          <cell r="F9" t="str">
            <v>4.1.01.04-MANUTENCAO E CONSERVACAO DE BENS</v>
          </cell>
          <cell r="G9" t="str">
            <v>4.1.01.04.0002</v>
          </cell>
          <cell r="H9" t="str">
            <v>PECAS, ACESSORIOS E MATERIAIS</v>
          </cell>
        </row>
        <row r="10">
          <cell r="F10" t="str">
            <v>4.1.01.11-CUSTOS RURAIS</v>
          </cell>
          <cell r="G10" t="str">
            <v>4.1.01.11.0015</v>
          </cell>
          <cell r="H10" t="str">
            <v xml:space="preserve">SEMENTES E MUDAS </v>
          </cell>
        </row>
        <row r="11">
          <cell r="F11" t="str">
            <v>4.1.01.03-LOCACOES</v>
          </cell>
          <cell r="G11" t="str">
            <v>4.1.01.03.0010</v>
          </cell>
          <cell r="H11" t="str">
            <v>LOCACOES DE MAQUINAS E EQUIPAMENTOS</v>
          </cell>
        </row>
        <row r="12">
          <cell r="F12" t="str">
            <v>4.1.01.11-CUSTOS RURAIS</v>
          </cell>
          <cell r="G12" t="str">
            <v>4.1.01.11.0015</v>
          </cell>
          <cell r="H12" t="str">
            <v>SEMENTES E MUDAS</v>
          </cell>
        </row>
        <row r="13">
          <cell r="F13" t="str">
            <v>4.1.01.02-SERVICOS DE TERCEIROS</v>
          </cell>
          <cell r="G13" t="str">
            <v>4.1.01.02.0002</v>
          </cell>
          <cell r="H13" t="str">
            <v>FRETES E CARRETOS PJ</v>
          </cell>
        </row>
        <row r="14">
          <cell r="F14" t="str">
            <v>4.1.01.04-MANUTENCAO E CONSERVACAO DE BENS</v>
          </cell>
          <cell r="G14" t="str">
            <v>4.1.01.04.0005</v>
          </cell>
          <cell r="H14" t="str">
            <v>MATERIAIS DE CONSERVACAO E LIMPEZA</v>
          </cell>
        </row>
        <row r="15">
          <cell r="F15" t="str">
            <v>4.1.01.21-OUTROS CUSTOS OPERACIONAIS</v>
          </cell>
          <cell r="G15" t="str">
            <v>4.1.01.21.0002</v>
          </cell>
          <cell r="H15" t="str">
            <v>TAXAS E ANUIDADES</v>
          </cell>
        </row>
        <row r="16">
          <cell r="F16" t="str">
            <v>4.1.01.21-OUTROS CUSTOS OPERACIONAIS</v>
          </cell>
          <cell r="G16" t="str">
            <v>4.1.01.21.0002</v>
          </cell>
          <cell r="H16" t="str">
            <v>EQUIPAMENTOS DE SEGURANCA NO TRABALHO</v>
          </cell>
        </row>
        <row r="17">
          <cell r="F17" t="str">
            <v>4.1.01.21-OUTROS CUSTOS OPERACIONAIS</v>
          </cell>
          <cell r="G17" t="str">
            <v>4.1.01.21.0012</v>
          </cell>
          <cell r="H17" t="str">
            <v>LANCHES E REFEICOES</v>
          </cell>
        </row>
        <row r="18">
          <cell r="F18" t="str">
            <v>4.1.01.02-SERVICOS DE TERCEIROS</v>
          </cell>
          <cell r="G18" t="str">
            <v>4.1.01.02.0004</v>
          </cell>
          <cell r="H18" t="str">
            <v>SERVIÇOS DE TERCEIROS PJ</v>
          </cell>
        </row>
        <row r="19">
          <cell r="F19" t="str">
            <v>4.1.01.11-CUSTOS RURAIS</v>
          </cell>
          <cell r="G19" t="str">
            <v>4.1.01.11.0017</v>
          </cell>
          <cell r="H19" t="str">
            <v>HERBICIDAS E DEFENSIVOS</v>
          </cell>
        </row>
        <row r="20">
          <cell r="F20" t="str">
            <v>4.1.01.03-LOCACOES</v>
          </cell>
          <cell r="G20" t="str">
            <v>4.1.01.03.0006</v>
          </cell>
          <cell r="H20" t="str">
            <v>LOCACOES DE AREAS AGRICOLAS</v>
          </cell>
        </row>
        <row r="21">
          <cell r="F21" t="str">
            <v>4.1.01.21-OUTROS CUSTOS OPERACIONAIS</v>
          </cell>
          <cell r="G21" t="str">
            <v>4.1.01.21.0002</v>
          </cell>
          <cell r="H21" t="str">
            <v>LANCHES E REFEICOES</v>
          </cell>
        </row>
        <row r="22">
          <cell r="F22" t="str">
            <v>4.1.01.11-CUSTOS RURAIS</v>
          </cell>
          <cell r="G22" t="str">
            <v>4.1.01.11.0019</v>
          </cell>
          <cell r="H22" t="str">
            <v>SEMENTES E MUDAS</v>
          </cell>
        </row>
        <row r="23">
          <cell r="F23" t="str">
            <v>4.1.01.05-DEPRECIACOES, EXAUSTOES E AMORTIZACOES</v>
          </cell>
          <cell r="G23" t="str">
            <v>4.1.01.05.0001</v>
          </cell>
          <cell r="H23" t="str">
            <v>DEPRECIACOES</v>
          </cell>
        </row>
        <row r="24">
          <cell r="F24" t="str">
            <v>4.1.01.21-OUTROS CUSTOS OPERACIONAIS</v>
          </cell>
          <cell r="G24" t="str">
            <v>4.1.01.21.0020</v>
          </cell>
          <cell r="H24" t="str">
            <v>OUTROS CUSTOS OPERACIONAIS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6661E-3ABF-4251-AC00-8079B1002E82}">
  <dimension ref="A1:O16"/>
  <sheetViews>
    <sheetView tabSelected="1" workbookViewId="0">
      <selection activeCell="B2" sqref="B2"/>
    </sheetView>
  </sheetViews>
  <sheetFormatPr defaultRowHeight="14.4" x14ac:dyDescent="0.3"/>
  <cols>
    <col min="1" max="1" width="44.5546875" bestFit="1" customWidth="1"/>
    <col min="2" max="2" width="16.33203125" bestFit="1" customWidth="1"/>
    <col min="3" max="3" width="35.44140625" bestFit="1" customWidth="1"/>
    <col min="4" max="6" width="9.109375" bestFit="1" customWidth="1"/>
    <col min="7" max="8" width="10.109375" bestFit="1" customWidth="1"/>
    <col min="9" max="10" width="9.109375" bestFit="1" customWidth="1"/>
    <col min="11" max="14" width="10.109375" bestFit="1" customWidth="1"/>
    <col min="15" max="15" width="11.6640625" bestFit="1" customWidth="1"/>
  </cols>
  <sheetData>
    <row r="1" spans="1:15" x14ac:dyDescent="0.3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t="str" cm="1">
        <f t="array" ref="A2:A16">_xlfn.XLOOKUP(B2:B16,[1]Planilha3!$G$2:$G$24,[1]Planilha3!$F$2:$F$24,"")</f>
        <v>4.1.01.02-SERVICOS DE TERCEIROS</v>
      </c>
      <c r="B2" s="4" t="s">
        <v>3</v>
      </c>
      <c r="C2" t="str" cm="1">
        <f t="array" ref="C2:C16">_xlfn.XLOOKUP(B2:B16,[1]Planilha3!$G$2:$G$24,[1]Planilha3!$H$2:$H$24,"")</f>
        <v>SERVICOS DE TERCEIROS PJ</v>
      </c>
      <c r="D2" s="5">
        <v>198.72000000000003</v>
      </c>
      <c r="E2" s="5">
        <v>12373.560000000001</v>
      </c>
      <c r="F2" s="5">
        <v>0</v>
      </c>
      <c r="G2" s="5">
        <v>1426.68</v>
      </c>
      <c r="H2" s="5">
        <v>149.04000000000002</v>
      </c>
      <c r="I2" s="5">
        <v>3348</v>
      </c>
      <c r="J2" s="5">
        <v>1017.09</v>
      </c>
      <c r="K2" s="5">
        <v>734.13</v>
      </c>
      <c r="L2" s="5">
        <v>3714.1200000000003</v>
      </c>
      <c r="M2" s="5">
        <v>5843.88</v>
      </c>
      <c r="N2" s="5">
        <v>1961.2800000000002</v>
      </c>
      <c r="O2" s="5">
        <v>63805.560000000012</v>
      </c>
    </row>
    <row r="3" spans="1:15" x14ac:dyDescent="0.3">
      <c r="A3" t="str">
        <v>4.1.01.03-LOCACOES</v>
      </c>
      <c r="B3" s="4" t="s">
        <v>4</v>
      </c>
      <c r="C3" t="str">
        <v>LOCACOES DE AREAS AGRICOLAS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</row>
    <row r="4" spans="1:15" x14ac:dyDescent="0.3">
      <c r="A4" t="str">
        <v>4.1.01.04-MANUTENCAO E CONSERVACAO DE BENS</v>
      </c>
      <c r="B4" s="4" t="s">
        <v>5</v>
      </c>
      <c r="C4" t="str">
        <v>COMBUSTIVEIS E LUBRIFICANTES</v>
      </c>
      <c r="D4" s="5"/>
      <c r="E4" s="5"/>
      <c r="F4" s="5"/>
      <c r="G4" s="5"/>
      <c r="H4" s="5"/>
      <c r="I4" s="5"/>
      <c r="J4" s="5"/>
      <c r="K4" s="5"/>
      <c r="L4" s="5"/>
      <c r="M4" s="5">
        <v>2100</v>
      </c>
      <c r="N4" s="5">
        <v>4500</v>
      </c>
      <c r="O4" s="5">
        <v>1200</v>
      </c>
    </row>
    <row r="5" spans="1:15" x14ac:dyDescent="0.3">
      <c r="A5" t="str">
        <v>4.1.01.04-MANUTENCAO E CONSERVACAO DE BENS</v>
      </c>
      <c r="B5" s="4" t="s">
        <v>6</v>
      </c>
      <c r="C5" t="str">
        <v>COMBUSTIVEIS E LUBRIFICANTES</v>
      </c>
      <c r="D5" s="5"/>
      <c r="E5" s="5"/>
      <c r="F5" s="5"/>
      <c r="G5" s="5"/>
      <c r="H5" s="5"/>
      <c r="I5" s="5"/>
      <c r="J5" s="5"/>
      <c r="K5" s="5">
        <v>324.81</v>
      </c>
      <c r="L5" s="5">
        <v>803.25</v>
      </c>
      <c r="M5" s="5"/>
      <c r="N5" s="5">
        <v>29.970000000000002</v>
      </c>
      <c r="O5" s="5"/>
    </row>
    <row r="6" spans="1:15" x14ac:dyDescent="0.3">
      <c r="A6" t="str">
        <v>4.1.01.04-MANUTENCAO E CONSERVACAO DE BENS</v>
      </c>
      <c r="B6" s="4" t="s">
        <v>7</v>
      </c>
      <c r="C6" t="str">
        <v>MATERIAIS DE CONSERVACAO E LIMPEZA</v>
      </c>
      <c r="D6" s="5"/>
      <c r="E6" s="5"/>
      <c r="F6" s="5"/>
      <c r="G6" s="5"/>
      <c r="H6" s="5"/>
      <c r="I6" s="5"/>
      <c r="J6" s="5"/>
      <c r="K6" s="5"/>
      <c r="L6" s="5">
        <v>28</v>
      </c>
      <c r="M6" s="5"/>
      <c r="N6" s="5"/>
      <c r="O6" s="5"/>
    </row>
    <row r="7" spans="1:15" x14ac:dyDescent="0.3">
      <c r="A7" t="str">
        <v>4.1.01.05-DEPRECIACOES, EXAUSTOES E AMORTIZACOES</v>
      </c>
      <c r="B7" s="4" t="s">
        <v>8</v>
      </c>
      <c r="C7" t="str">
        <v>DEPRECIACOES</v>
      </c>
      <c r="D7" s="5">
        <v>1260.7677000000001</v>
      </c>
      <c r="E7" s="5">
        <v>1260.7677000000001</v>
      </c>
      <c r="F7" s="5">
        <v>1260.7677000000001</v>
      </c>
      <c r="G7" s="5">
        <v>1260.7677000000001</v>
      </c>
      <c r="H7" s="5">
        <v>1260.7677000000001</v>
      </c>
      <c r="I7" s="5">
        <v>1260.7677000000001</v>
      </c>
      <c r="J7" s="5">
        <v>1260.7677000000001</v>
      </c>
      <c r="K7" s="5">
        <v>1260.7677000000001</v>
      </c>
      <c r="L7" s="5">
        <v>1260.7677000000001</v>
      </c>
      <c r="M7" s="5">
        <v>1260.7677000000001</v>
      </c>
      <c r="N7" s="5">
        <v>1260.7677000000001</v>
      </c>
      <c r="O7" s="5">
        <v>1260.7677000000001</v>
      </c>
    </row>
    <row r="8" spans="1:15" x14ac:dyDescent="0.3">
      <c r="A8" t="str">
        <v>4.1.01.11-CUSTOS RURAIS</v>
      </c>
      <c r="B8" s="4" t="s">
        <v>9</v>
      </c>
      <c r="C8" t="str">
        <v xml:space="preserve">SEMENTES E MUDAS </v>
      </c>
      <c r="D8" s="5"/>
      <c r="E8" s="5"/>
      <c r="F8" s="5"/>
      <c r="G8" s="5"/>
      <c r="H8" s="5"/>
      <c r="I8" s="5"/>
      <c r="J8" s="5"/>
      <c r="K8" s="5">
        <v>170776.51500000001</v>
      </c>
      <c r="L8" s="5"/>
      <c r="M8" s="5"/>
      <c r="N8" s="5">
        <v>37328.200000000004</v>
      </c>
      <c r="O8" s="5"/>
    </row>
    <row r="9" spans="1:15" x14ac:dyDescent="0.3">
      <c r="A9" t="str">
        <v>4.1.01.11-CUSTOS RURAIS</v>
      </c>
      <c r="B9" s="4" t="s">
        <v>10</v>
      </c>
      <c r="C9" t="str">
        <v>FERTILIZANTES</v>
      </c>
      <c r="D9" s="5"/>
      <c r="E9" s="5"/>
      <c r="F9" s="5"/>
      <c r="G9" s="5"/>
      <c r="H9" s="5">
        <v>129582.18000000001</v>
      </c>
      <c r="I9" s="5">
        <v>250898.83000000002</v>
      </c>
      <c r="J9" s="5"/>
      <c r="K9" s="5">
        <v>0</v>
      </c>
      <c r="L9" s="5"/>
      <c r="M9" s="5"/>
      <c r="N9" s="5"/>
      <c r="O9" s="5"/>
    </row>
    <row r="10" spans="1:15" x14ac:dyDescent="0.3">
      <c r="A10" t="str">
        <v>4.1.01.11-CUSTOS RURAIS</v>
      </c>
      <c r="B10" s="4" t="s">
        <v>11</v>
      </c>
      <c r="C10" t="str">
        <v>HERBICIDAS E DEFENSIVOS</v>
      </c>
      <c r="D10" s="5">
        <v>3926.1267499999999</v>
      </c>
      <c r="E10" s="5"/>
      <c r="F10" s="5"/>
      <c r="G10" s="5"/>
      <c r="H10" s="5"/>
      <c r="I10" s="5"/>
      <c r="J10" s="5"/>
      <c r="K10" s="5">
        <v>45687.074279999993</v>
      </c>
      <c r="L10" s="5">
        <v>110749.33725140001</v>
      </c>
      <c r="M10" s="5">
        <v>60622.596580000005</v>
      </c>
      <c r="N10" s="5">
        <v>93563.533244999999</v>
      </c>
      <c r="O10" s="5">
        <v>7566.9593999999997</v>
      </c>
    </row>
    <row r="11" spans="1:15" x14ac:dyDescent="0.3">
      <c r="A11" t="str">
        <v>4.1.01.21-OUTROS CUSTOS OPERACIONAIS</v>
      </c>
      <c r="B11" s="4" t="s">
        <v>12</v>
      </c>
      <c r="C11" t="str">
        <v>TAXAS E ANUIDADES</v>
      </c>
      <c r="D11" s="5"/>
      <c r="E11" s="5"/>
      <c r="F11" s="5"/>
      <c r="G11" s="5"/>
      <c r="H11" s="5"/>
      <c r="I11" s="5"/>
      <c r="J11" s="5"/>
      <c r="K11" s="5"/>
      <c r="L11" s="5">
        <v>987.64</v>
      </c>
      <c r="M11" s="5"/>
      <c r="N11" s="5"/>
      <c r="O11" s="5"/>
    </row>
    <row r="12" spans="1:15" x14ac:dyDescent="0.3">
      <c r="A12" t="str">
        <v>4.1.01.21-OUTROS CUSTOS OPERACIONAIS</v>
      </c>
      <c r="B12" s="4" t="s">
        <v>13</v>
      </c>
      <c r="C12" t="str">
        <v>LANCHES E REFEICOES</v>
      </c>
      <c r="D12" s="5"/>
      <c r="E12" s="5"/>
      <c r="F12" s="5"/>
      <c r="G12" s="5"/>
      <c r="H12" s="5"/>
      <c r="I12" s="5"/>
      <c r="J12" s="5"/>
      <c r="K12" s="5"/>
      <c r="L12" s="5">
        <v>741.96</v>
      </c>
      <c r="M12" s="5"/>
      <c r="N12" s="5"/>
      <c r="O12" s="5"/>
    </row>
    <row r="13" spans="1:15" x14ac:dyDescent="0.3">
      <c r="A13" t="str">
        <v>4.1.01.21-OUTROS CUSTOS OPERACIONAIS</v>
      </c>
      <c r="B13" s="4" t="s">
        <v>14</v>
      </c>
      <c r="C13" t="str">
        <v>OUTROS CUSTOS OPERACIONAIS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>
        <v>200033.19449999998</v>
      </c>
    </row>
    <row r="14" spans="1:15" x14ac:dyDescent="0.3">
      <c r="A14" t="str">
        <v>4.2.01.02-RATEIO DE CUSTOS</v>
      </c>
      <c r="B14" s="4" t="s">
        <v>15</v>
      </c>
      <c r="C14" t="str">
        <v>RATEIO RECEBIDO</v>
      </c>
      <c r="D14" s="5">
        <v>12606.720052387185</v>
      </c>
      <c r="E14" s="5">
        <v>14063.933340820658</v>
      </c>
      <c r="F14" s="5">
        <v>-342.27</v>
      </c>
      <c r="G14" s="5">
        <v>12215.555223641068</v>
      </c>
      <c r="H14" s="5">
        <v>16554.305982276976</v>
      </c>
      <c r="I14" s="5">
        <v>16639.469222926225</v>
      </c>
      <c r="J14" s="5">
        <v>22017.243557814443</v>
      </c>
      <c r="K14" s="5">
        <v>52415.434394192169</v>
      </c>
      <c r="L14" s="5">
        <v>25874.083888846548</v>
      </c>
      <c r="M14" s="5">
        <v>22349.302357539378</v>
      </c>
      <c r="N14" s="5">
        <v>24352.362226399258</v>
      </c>
      <c r="O14" s="5">
        <v>72128.878243935877</v>
      </c>
    </row>
    <row r="15" spans="1:15" x14ac:dyDescent="0.3">
      <c r="A15" t="str">
        <v/>
      </c>
      <c r="C15" t="str">
        <v/>
      </c>
    </row>
    <row r="16" spans="1:15" x14ac:dyDescent="0.3">
      <c r="A16" t="str">
        <v/>
      </c>
      <c r="C16" t="str">
        <v/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2026-05-15T17:04:37Z</dcterms:created>
  <dcterms:modified xsi:type="dcterms:W3CDTF">2026-05-15T17:04:45Z</dcterms:modified>
</cp:coreProperties>
</file>