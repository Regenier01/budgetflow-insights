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Despesas Administrativas\"/>
    </mc:Choice>
  </mc:AlternateContent>
  <xr:revisionPtr revIDLastSave="0" documentId="8_{B608DCED-2488-4E36-9B16-05DD5E44B2DF}" xr6:coauthVersionLast="47" xr6:coauthVersionMax="47" xr10:uidLastSave="{00000000-0000-0000-0000-000000000000}"/>
  <bookViews>
    <workbookView xWindow="-108" yWindow="-108" windowWidth="23256" windowHeight="12456" xr2:uid="{874BE90E-80CE-4C50-8CC3-D0E68A2E23D1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4" i="1" l="1"/>
  <c r="N4" i="1"/>
  <c r="M4" i="1"/>
  <c r="L4" i="1"/>
  <c r="K4" i="1"/>
  <c r="J4" i="1"/>
  <c r="I4" i="1"/>
  <c r="H4" i="1"/>
  <c r="G4" i="1"/>
  <c r="F4" i="1"/>
  <c r="E4" i="1"/>
  <c r="D4" i="1"/>
</calcChain>
</file>

<file path=xl/sharedStrings.xml><?xml version="1.0" encoding="utf-8"?>
<sst xmlns="http://schemas.openxmlformats.org/spreadsheetml/2006/main" count="86" uniqueCount="62">
  <si>
    <t>GRUPO_CONTABIL</t>
  </si>
  <si>
    <t>CONTA_CONTABIL</t>
  </si>
  <si>
    <t>Descrição C. Contábil</t>
  </si>
  <si>
    <t>3.4.01.01-CUSTO DE PESSOAL</t>
  </si>
  <si>
    <t>3.4.01.01.0001</t>
  </si>
  <si>
    <t>Custo de Pessoal</t>
  </si>
  <si>
    <t/>
  </si>
  <si>
    <t>Honorários Diretoria</t>
  </si>
  <si>
    <t>3.4.01.02-SERVICOS DE TERCEIROS</t>
  </si>
  <si>
    <t>3.4.01.02.0002</t>
  </si>
  <si>
    <t>Serviços de Terceiros</t>
  </si>
  <si>
    <t>3.4.01.10-OUTRAS DESPESAS ADMINISTRATIVAS</t>
  </si>
  <si>
    <t>3.4.01.10.0020</t>
  </si>
  <si>
    <t>Outras Despesas Administrativas</t>
  </si>
  <si>
    <t>3.4.01.10.0003</t>
  </si>
  <si>
    <t>Contribuições e Doações</t>
  </si>
  <si>
    <t>3.4.01.07-UTILIDADES E SERVICOS</t>
  </si>
  <si>
    <t>3.4.01.07.0002</t>
  </si>
  <si>
    <t>Telefone</t>
  </si>
  <si>
    <t>3.4.01.10.0053</t>
  </si>
  <si>
    <t>Rateio de Veículos</t>
  </si>
  <si>
    <t>3.4.01.05-DEPRECIACOES, EXAUSTOES E AMORTIZAÇÕES</t>
  </si>
  <si>
    <t>3.4.01.05.0001</t>
  </si>
  <si>
    <t>Depreciações</t>
  </si>
  <si>
    <t>Utilidades e serviços</t>
  </si>
  <si>
    <t>3.4.01.01.0010</t>
  </si>
  <si>
    <t>Plano de Saúde</t>
  </si>
  <si>
    <t>Plano de Previdência Privada - Sócios</t>
  </si>
  <si>
    <t>3.4.01.04 888 MANUTENCAO E CONSERVACAO DE BENS</t>
  </si>
  <si>
    <t>3.4.01.04.0002</t>
  </si>
  <si>
    <t>Peças, Acessórios e Materiais</t>
  </si>
  <si>
    <t>3.4.01.04.0004</t>
  </si>
  <si>
    <t>Impressos e Materiais de Expediente</t>
  </si>
  <si>
    <t>3.4.01.04.0005</t>
  </si>
  <si>
    <t>Materiais para Manutenção e Conservação</t>
  </si>
  <si>
    <t>3.4.01.06-DESPESAS DE VIAGENS</t>
  </si>
  <si>
    <t>Despesas de viagem</t>
  </si>
  <si>
    <t>3.4.01.10.0056</t>
  </si>
  <si>
    <t>Rateio Oficina de Manutenção</t>
  </si>
  <si>
    <t>3.4.01.10.0012</t>
  </si>
  <si>
    <t>Lanches e Refeições</t>
  </si>
  <si>
    <t>3.4.01.10.0004</t>
  </si>
  <si>
    <t>Cursos de Treinamento</t>
  </si>
  <si>
    <t>3.4.01.10.0002</t>
  </si>
  <si>
    <t>Equipamentos de Segurança no Trabalho</t>
  </si>
  <si>
    <t>3.4.01.10.0005</t>
  </si>
  <si>
    <t>Indenizações</t>
  </si>
  <si>
    <t>3.4.01.03-LOCACOES</t>
  </si>
  <si>
    <t>Locações de prédios e veículos</t>
  </si>
  <si>
    <t>3.4.01.10.0051</t>
  </si>
  <si>
    <t>Rateio Confraternizações e Eventos</t>
  </si>
  <si>
    <t>3.4.01.10.0052</t>
  </si>
  <si>
    <t>Rateio Medicina e Segurança do Trabalho</t>
  </si>
  <si>
    <t>Rateio de Veiculos, Máquinas</t>
  </si>
  <si>
    <t>3.4.01.10.0054</t>
  </si>
  <si>
    <t>Rateio Cantina Administração</t>
  </si>
  <si>
    <t>3.4.01.10.0055</t>
  </si>
  <si>
    <t>Outros Rateios</t>
  </si>
  <si>
    <t>3.4.01.10.0057</t>
  </si>
  <si>
    <t>Rateio Logística</t>
  </si>
  <si>
    <t>3.4.01.10.0058</t>
  </si>
  <si>
    <t>Rateio Portaria e Vigilância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</si>
</sst>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(* #,##0.00_);_(* \(#,##0.00\);_(* &quot;-&quot;??_);_(@_)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1" fillId="0" borderId="0"/>
    <xf numFmtId="164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2" fillId="2" borderId="1" xfId="2" applyFont="1" applyFill="1" applyBorder="1"/>
    <xf numFmtId="17" fontId="3" fillId="0" borderId="2" xfId="0" applyNumberFormat="1" applyFont="1" applyBorder="1" applyAlignment="1">
      <alignment horizontal="center" vertical="center"/>
    </xf>
    <xf numFmtId="164" fontId="4" fillId="0" borderId="2" xfId="3" applyFont="1" applyFill="1" applyBorder="1"/>
    <xf numFmtId="164" fontId="4" fillId="0" borderId="3" xfId="3" applyFont="1" applyFill="1" applyBorder="1"/>
    <xf numFmtId="164" fontId="4" fillId="0" borderId="4" xfId="3" applyFont="1" applyFill="1" applyBorder="1"/>
    <xf numFmtId="164" fontId="4" fillId="0" borderId="5" xfId="3" applyFont="1" applyFill="1" applyBorder="1"/>
  </cellXfs>
  <cellStyles count="4">
    <cellStyle name="Normal" xfId="0" builtinId="0"/>
    <cellStyle name="Normal 2" xfId="1" xr:uid="{3AFB0AF8-7D46-4B16-B72B-A2BB7B8F2DC8}"/>
    <cellStyle name="Normal 3" xfId="2" xr:uid="{6B4B4BF0-CF58-4C05-9572-48C0B9D3353C}"/>
    <cellStyle name="Vírgula 3" xfId="3" xr:uid="{F1B2E986-1E05-4381-9E4B-906FD2D170E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630DB-F039-42E5-B4AF-FD18B0CA346B}">
  <dimension ref="A1:O29"/>
  <sheetViews>
    <sheetView tabSelected="1" zoomScale="90" zoomScaleNormal="90" workbookViewId="0">
      <selection activeCell="C12" sqref="C12"/>
    </sheetView>
  </sheetViews>
  <sheetFormatPr defaultRowHeight="14.4" x14ac:dyDescent="0.3"/>
  <cols>
    <col min="1" max="1" width="48.109375" bestFit="1" customWidth="1"/>
    <col min="2" max="2" width="37.88671875" bestFit="1" customWidth="1"/>
    <col min="3" max="3" width="35.6640625" bestFit="1" customWidth="1"/>
    <col min="4" max="15" width="10.21875" customWidth="1"/>
  </cols>
  <sheetData>
    <row r="1" spans="1:15" ht="15" thickBot="1" x14ac:dyDescent="0.35">
      <c r="A1" s="1" t="s">
        <v>0</v>
      </c>
      <c r="B1" s="1" t="s">
        <v>1</v>
      </c>
      <c r="C1" s="2" t="s">
        <v>2</v>
      </c>
      <c r="D1" s="3">
        <v>46113</v>
      </c>
      <c r="E1" s="3">
        <v>46143</v>
      </c>
      <c r="F1" s="3">
        <v>46174</v>
      </c>
      <c r="G1" s="3">
        <v>46204</v>
      </c>
      <c r="H1" s="3">
        <v>46235</v>
      </c>
      <c r="I1" s="3">
        <v>46266</v>
      </c>
      <c r="J1" s="3">
        <v>46296</v>
      </c>
      <c r="K1" s="3">
        <v>46327</v>
      </c>
      <c r="L1" s="3">
        <v>46357</v>
      </c>
      <c r="M1" s="3">
        <v>46388</v>
      </c>
      <c r="N1" s="3">
        <v>46419</v>
      </c>
      <c r="O1" s="3">
        <v>46447</v>
      </c>
    </row>
    <row r="2" spans="1:15" x14ac:dyDescent="0.3">
      <c r="A2" t="s">
        <v>3</v>
      </c>
      <c r="B2" t="s">
        <v>4</v>
      </c>
      <c r="C2" t="s">
        <v>5</v>
      </c>
      <c r="D2" s="4">
        <v>39391.35</v>
      </c>
      <c r="E2" s="4">
        <v>39391.35</v>
      </c>
      <c r="F2" s="4">
        <v>70904.429999999993</v>
      </c>
      <c r="G2" s="4">
        <v>39391.35</v>
      </c>
      <c r="H2" s="4">
        <v>39391.35</v>
      </c>
      <c r="I2" s="4">
        <v>39391.35</v>
      </c>
      <c r="J2" s="4">
        <v>39391.35</v>
      </c>
      <c r="K2" s="4">
        <v>39391.35</v>
      </c>
      <c r="L2" s="4">
        <v>39391.35</v>
      </c>
      <c r="M2" s="4">
        <v>41360.917500000003</v>
      </c>
      <c r="N2" s="4">
        <v>41360.917500000003</v>
      </c>
      <c r="O2" s="4">
        <v>41360.917500000003</v>
      </c>
    </row>
    <row r="3" spans="1:15" x14ac:dyDescent="0.3">
      <c r="A3" t="s">
        <v>3</v>
      </c>
      <c r="B3" t="s">
        <v>6</v>
      </c>
      <c r="C3" s="1" t="s">
        <v>7</v>
      </c>
      <c r="D3" s="5">
        <v>0</v>
      </c>
      <c r="E3" s="5">
        <v>0</v>
      </c>
      <c r="F3" s="5">
        <v>0</v>
      </c>
      <c r="G3" s="5">
        <v>0</v>
      </c>
      <c r="H3" s="5">
        <v>0</v>
      </c>
      <c r="I3" s="5">
        <v>0</v>
      </c>
      <c r="J3" s="5">
        <v>0</v>
      </c>
      <c r="K3" s="5">
        <v>0</v>
      </c>
      <c r="L3" s="5">
        <v>0</v>
      </c>
      <c r="M3" s="5">
        <v>0</v>
      </c>
      <c r="N3" s="5">
        <v>0</v>
      </c>
      <c r="O3" s="5">
        <v>0</v>
      </c>
    </row>
    <row r="4" spans="1:15" x14ac:dyDescent="0.3">
      <c r="A4" t="s">
        <v>8</v>
      </c>
      <c r="B4" t="s">
        <v>9</v>
      </c>
      <c r="C4" t="s">
        <v>10</v>
      </c>
      <c r="D4" s="5">
        <f>67018.45+2600</f>
        <v>69618.45</v>
      </c>
      <c r="E4" s="5">
        <f>32018.45+2600</f>
        <v>34618.449999999997</v>
      </c>
      <c r="F4" s="5">
        <f>29518.45+2600</f>
        <v>32118.45</v>
      </c>
      <c r="G4" s="5">
        <f>29518.45+2600</f>
        <v>32118.45</v>
      </c>
      <c r="H4" s="5">
        <f>29518.45+2600</f>
        <v>32118.45</v>
      </c>
      <c r="I4" s="5">
        <f>29518.45+2600</f>
        <v>32118.45</v>
      </c>
      <c r="J4" s="5">
        <f>29518.45+2600</f>
        <v>32118.45</v>
      </c>
      <c r="K4" s="5">
        <f>29518.45+2600</f>
        <v>32118.45</v>
      </c>
      <c r="L4" s="5">
        <f>29518.45+2600</f>
        <v>32118.45</v>
      </c>
      <c r="M4" s="5">
        <f>29518.45+2600</f>
        <v>32118.45</v>
      </c>
      <c r="N4" s="5">
        <f>29518.45+2600</f>
        <v>32118.45</v>
      </c>
      <c r="O4" s="5">
        <f>29518.45+2600</f>
        <v>32118.45</v>
      </c>
    </row>
    <row r="5" spans="1:15" x14ac:dyDescent="0.3">
      <c r="A5" t="s">
        <v>11</v>
      </c>
      <c r="B5" t="s">
        <v>12</v>
      </c>
      <c r="C5" s="1" t="s">
        <v>13</v>
      </c>
      <c r="D5" s="5">
        <v>355</v>
      </c>
      <c r="E5" s="5">
        <v>355</v>
      </c>
      <c r="F5" s="5">
        <v>355</v>
      </c>
      <c r="G5" s="5">
        <v>355</v>
      </c>
      <c r="H5" s="5">
        <v>355</v>
      </c>
      <c r="I5" s="5">
        <v>355</v>
      </c>
      <c r="J5" s="5">
        <v>355</v>
      </c>
      <c r="K5" s="5">
        <v>355</v>
      </c>
      <c r="L5" s="5">
        <v>355</v>
      </c>
      <c r="M5" s="5">
        <v>355</v>
      </c>
      <c r="N5" s="5">
        <v>355</v>
      </c>
      <c r="O5" s="5">
        <v>355</v>
      </c>
    </row>
    <row r="6" spans="1:15" x14ac:dyDescent="0.3">
      <c r="A6" t="s">
        <v>11</v>
      </c>
      <c r="B6" t="s">
        <v>14</v>
      </c>
      <c r="C6" t="s">
        <v>15</v>
      </c>
      <c r="D6" s="5">
        <v>0</v>
      </c>
      <c r="E6" s="5">
        <v>0</v>
      </c>
      <c r="F6" s="5">
        <v>0</v>
      </c>
      <c r="G6" s="5">
        <v>0</v>
      </c>
      <c r="H6" s="5">
        <v>0</v>
      </c>
      <c r="I6" s="5">
        <v>0</v>
      </c>
      <c r="J6" s="5">
        <v>0</v>
      </c>
      <c r="K6" s="5">
        <v>0</v>
      </c>
      <c r="L6" s="5">
        <v>0</v>
      </c>
      <c r="M6" s="5">
        <v>0</v>
      </c>
      <c r="N6" s="5">
        <v>0</v>
      </c>
      <c r="O6" s="5">
        <v>0</v>
      </c>
    </row>
    <row r="7" spans="1:15" x14ac:dyDescent="0.3">
      <c r="A7" t="s">
        <v>16</v>
      </c>
      <c r="B7" t="s">
        <v>17</v>
      </c>
      <c r="C7" s="1" t="s">
        <v>18</v>
      </c>
      <c r="D7" s="5">
        <v>0</v>
      </c>
      <c r="E7" s="5">
        <v>0</v>
      </c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5">
        <v>0</v>
      </c>
      <c r="M7" s="5">
        <v>0</v>
      </c>
      <c r="N7" s="5">
        <v>0</v>
      </c>
      <c r="O7" s="5">
        <v>0</v>
      </c>
    </row>
    <row r="8" spans="1:15" x14ac:dyDescent="0.3">
      <c r="A8" t="s">
        <v>11</v>
      </c>
      <c r="B8" t="s">
        <v>19</v>
      </c>
      <c r="C8" t="s">
        <v>20</v>
      </c>
      <c r="D8" s="5">
        <v>0</v>
      </c>
      <c r="E8" s="5">
        <v>0</v>
      </c>
      <c r="F8" s="5">
        <v>0</v>
      </c>
      <c r="G8" s="5">
        <v>0</v>
      </c>
      <c r="H8" s="5">
        <v>0</v>
      </c>
      <c r="I8" s="5">
        <v>0</v>
      </c>
      <c r="J8" s="5">
        <v>0</v>
      </c>
      <c r="K8" s="5">
        <v>0</v>
      </c>
      <c r="L8" s="5">
        <v>0</v>
      </c>
      <c r="M8" s="5">
        <v>0</v>
      </c>
      <c r="N8" s="5">
        <v>0</v>
      </c>
      <c r="O8" s="5">
        <v>0</v>
      </c>
    </row>
    <row r="9" spans="1:15" x14ac:dyDescent="0.3">
      <c r="A9" t="s">
        <v>21</v>
      </c>
      <c r="B9" t="s">
        <v>22</v>
      </c>
      <c r="C9" s="1" t="s">
        <v>23</v>
      </c>
      <c r="D9" s="5">
        <v>1212.8900000000001</v>
      </c>
      <c r="E9" s="5">
        <v>1212.8900000000001</v>
      </c>
      <c r="F9" s="5">
        <v>1212.8900000000001</v>
      </c>
      <c r="G9" s="5">
        <v>1212.8900000000001</v>
      </c>
      <c r="H9" s="5">
        <v>1212.8900000000001</v>
      </c>
      <c r="I9" s="5">
        <v>1212.8900000000001</v>
      </c>
      <c r="J9" s="5">
        <v>1212.8900000000001</v>
      </c>
      <c r="K9" s="5">
        <v>1212.8900000000001</v>
      </c>
      <c r="L9" s="5">
        <v>1212.8900000000001</v>
      </c>
      <c r="M9" s="5">
        <v>1212.8900000000001</v>
      </c>
      <c r="N9" s="5">
        <v>1212.8900000000001</v>
      </c>
      <c r="O9" s="5">
        <v>1212.8900000000001</v>
      </c>
    </row>
    <row r="10" spans="1:15" x14ac:dyDescent="0.3">
      <c r="A10" t="s">
        <v>16</v>
      </c>
      <c r="B10" t="s">
        <v>6</v>
      </c>
      <c r="C10" t="s">
        <v>24</v>
      </c>
      <c r="D10" s="5">
        <v>0</v>
      </c>
      <c r="E10" s="5">
        <v>0</v>
      </c>
      <c r="F10" s="5">
        <v>0</v>
      </c>
      <c r="G10" s="5">
        <v>0</v>
      </c>
      <c r="H10" s="5">
        <v>0</v>
      </c>
      <c r="I10" s="5">
        <v>0</v>
      </c>
      <c r="J10" s="5">
        <v>0</v>
      </c>
      <c r="K10" s="5">
        <v>0</v>
      </c>
      <c r="L10" s="5">
        <v>0</v>
      </c>
      <c r="M10" s="5">
        <v>0</v>
      </c>
      <c r="N10" s="5">
        <v>0</v>
      </c>
      <c r="O10" s="5">
        <v>0</v>
      </c>
    </row>
    <row r="11" spans="1:15" x14ac:dyDescent="0.3">
      <c r="A11" t="s">
        <v>3</v>
      </c>
      <c r="B11" t="s">
        <v>25</v>
      </c>
      <c r="C11" s="1" t="s">
        <v>26</v>
      </c>
      <c r="D11" s="5">
        <v>0</v>
      </c>
      <c r="E11" s="5">
        <v>0</v>
      </c>
      <c r="F11" s="5">
        <v>0</v>
      </c>
      <c r="G11" s="5">
        <v>0</v>
      </c>
      <c r="H11" s="5">
        <v>0</v>
      </c>
      <c r="I11" s="5">
        <v>0</v>
      </c>
      <c r="J11" s="5">
        <v>0</v>
      </c>
      <c r="K11" s="5">
        <v>0</v>
      </c>
      <c r="L11" s="5">
        <v>0</v>
      </c>
      <c r="M11" s="5">
        <v>0</v>
      </c>
      <c r="N11" s="5">
        <v>0</v>
      </c>
      <c r="O11" s="5">
        <v>0</v>
      </c>
    </row>
    <row r="12" spans="1:15" x14ac:dyDescent="0.3">
      <c r="A12" t="s">
        <v>3</v>
      </c>
      <c r="B12" t="s">
        <v>6</v>
      </c>
      <c r="C12" t="s">
        <v>27</v>
      </c>
      <c r="D12" s="5">
        <v>0</v>
      </c>
      <c r="E12" s="5">
        <v>0</v>
      </c>
      <c r="F12" s="5">
        <v>0</v>
      </c>
      <c r="G12" s="5">
        <v>0</v>
      </c>
      <c r="H12" s="5">
        <v>0</v>
      </c>
      <c r="I12" s="5">
        <v>0</v>
      </c>
      <c r="J12" s="5">
        <v>0</v>
      </c>
      <c r="K12" s="5">
        <v>0</v>
      </c>
      <c r="L12" s="5">
        <v>0</v>
      </c>
      <c r="M12" s="5">
        <v>0</v>
      </c>
      <c r="N12" s="5">
        <v>0</v>
      </c>
      <c r="O12" s="5">
        <v>0</v>
      </c>
    </row>
    <row r="13" spans="1:15" x14ac:dyDescent="0.3">
      <c r="A13" t="s">
        <v>28</v>
      </c>
      <c r="B13" t="s">
        <v>29</v>
      </c>
      <c r="C13" s="1" t="s">
        <v>30</v>
      </c>
      <c r="D13" s="5">
        <v>600</v>
      </c>
      <c r="E13" s="5">
        <v>600</v>
      </c>
      <c r="F13" s="5">
        <v>600</v>
      </c>
      <c r="G13" s="5">
        <v>600</v>
      </c>
      <c r="H13" s="5">
        <v>600</v>
      </c>
      <c r="I13" s="5">
        <v>600</v>
      </c>
      <c r="J13" s="5">
        <v>600</v>
      </c>
      <c r="K13" s="5">
        <v>600</v>
      </c>
      <c r="L13" s="5">
        <v>600</v>
      </c>
      <c r="M13" s="5">
        <v>600</v>
      </c>
      <c r="N13" s="5">
        <v>600</v>
      </c>
      <c r="O13" s="5">
        <v>600</v>
      </c>
    </row>
    <row r="14" spans="1:15" x14ac:dyDescent="0.3">
      <c r="A14" t="s">
        <v>28</v>
      </c>
      <c r="B14" t="s">
        <v>31</v>
      </c>
      <c r="C14" t="s">
        <v>32</v>
      </c>
      <c r="D14" s="5">
        <v>30</v>
      </c>
      <c r="E14" s="5">
        <v>30</v>
      </c>
      <c r="F14" s="5">
        <v>30</v>
      </c>
      <c r="G14" s="5">
        <v>30</v>
      </c>
      <c r="H14" s="5">
        <v>30</v>
      </c>
      <c r="I14" s="5">
        <v>30</v>
      </c>
      <c r="J14" s="5">
        <v>30</v>
      </c>
      <c r="K14" s="5">
        <v>30</v>
      </c>
      <c r="L14" s="5">
        <v>30</v>
      </c>
      <c r="M14" s="5">
        <v>30</v>
      </c>
      <c r="N14" s="5">
        <v>30</v>
      </c>
      <c r="O14" s="5">
        <v>30</v>
      </c>
    </row>
    <row r="15" spans="1:15" x14ac:dyDescent="0.3">
      <c r="A15" t="s">
        <v>28</v>
      </c>
      <c r="B15" t="s">
        <v>33</v>
      </c>
      <c r="C15" s="1" t="s">
        <v>34</v>
      </c>
      <c r="D15" s="5">
        <v>9.42</v>
      </c>
      <c r="E15" s="5">
        <v>9.42</v>
      </c>
      <c r="F15" s="5">
        <v>9.42</v>
      </c>
      <c r="G15" s="5">
        <v>9.42</v>
      </c>
      <c r="H15" s="5">
        <v>9.42</v>
      </c>
      <c r="I15" s="5">
        <v>9.42</v>
      </c>
      <c r="J15" s="5">
        <v>9.42</v>
      </c>
      <c r="K15" s="5">
        <v>9.42</v>
      </c>
      <c r="L15" s="5">
        <v>9.42</v>
      </c>
      <c r="M15" s="5">
        <v>9.42</v>
      </c>
      <c r="N15" s="5">
        <v>9.42</v>
      </c>
      <c r="O15" s="5">
        <v>9.42</v>
      </c>
    </row>
    <row r="16" spans="1:15" x14ac:dyDescent="0.3">
      <c r="A16" t="s">
        <v>35</v>
      </c>
      <c r="B16" t="s">
        <v>6</v>
      </c>
      <c r="C16" t="s">
        <v>36</v>
      </c>
      <c r="D16" s="5">
        <v>300</v>
      </c>
      <c r="E16" s="5">
        <v>300</v>
      </c>
      <c r="F16" s="5">
        <v>300</v>
      </c>
      <c r="G16" s="5">
        <v>300</v>
      </c>
      <c r="H16" s="5">
        <v>300</v>
      </c>
      <c r="I16" s="5">
        <v>300</v>
      </c>
      <c r="J16" s="5">
        <v>300</v>
      </c>
      <c r="K16" s="5">
        <v>300</v>
      </c>
      <c r="L16" s="5">
        <v>300</v>
      </c>
      <c r="M16" s="5">
        <v>300</v>
      </c>
      <c r="N16" s="5">
        <v>300</v>
      </c>
      <c r="O16" s="5">
        <v>300</v>
      </c>
    </row>
    <row r="17" spans="1:15" x14ac:dyDescent="0.3">
      <c r="A17" t="s">
        <v>11</v>
      </c>
      <c r="B17" t="s">
        <v>37</v>
      </c>
      <c r="C17" s="1" t="s">
        <v>38</v>
      </c>
      <c r="D17" s="5">
        <v>0</v>
      </c>
      <c r="E17" s="5">
        <v>0</v>
      </c>
      <c r="F17" s="5">
        <v>0</v>
      </c>
      <c r="G17" s="5">
        <v>0</v>
      </c>
      <c r="H17" s="5">
        <v>0</v>
      </c>
      <c r="I17" s="5">
        <v>0</v>
      </c>
      <c r="J17" s="5">
        <v>0</v>
      </c>
      <c r="K17" s="5">
        <v>0</v>
      </c>
      <c r="L17" s="5">
        <v>0</v>
      </c>
      <c r="M17" s="5">
        <v>0</v>
      </c>
      <c r="N17" s="5">
        <v>0</v>
      </c>
      <c r="O17" s="5">
        <v>0</v>
      </c>
    </row>
    <row r="18" spans="1:15" x14ac:dyDescent="0.3">
      <c r="A18" t="s">
        <v>11</v>
      </c>
      <c r="B18" t="s">
        <v>39</v>
      </c>
      <c r="C18" t="s">
        <v>40</v>
      </c>
      <c r="D18" s="5">
        <v>962.7165</v>
      </c>
      <c r="E18" s="5">
        <v>962.7165</v>
      </c>
      <c r="F18" s="5">
        <v>962.7165</v>
      </c>
      <c r="G18" s="5">
        <v>962.7165</v>
      </c>
      <c r="H18" s="5">
        <v>962.7165</v>
      </c>
      <c r="I18" s="5">
        <v>962.7165</v>
      </c>
      <c r="J18" s="5">
        <v>962.7165</v>
      </c>
      <c r="K18" s="5">
        <v>962.7165</v>
      </c>
      <c r="L18" s="5">
        <v>962.7165</v>
      </c>
      <c r="M18" s="5">
        <v>962.7165</v>
      </c>
      <c r="N18" s="5">
        <v>962.7165</v>
      </c>
      <c r="O18" s="5">
        <v>962.7165</v>
      </c>
    </row>
    <row r="19" spans="1:15" x14ac:dyDescent="0.3">
      <c r="A19" t="s">
        <v>11</v>
      </c>
      <c r="B19" t="s">
        <v>41</v>
      </c>
      <c r="C19" s="1" t="s">
        <v>42</v>
      </c>
      <c r="D19" s="5">
        <v>0</v>
      </c>
      <c r="E19" s="5">
        <v>0</v>
      </c>
      <c r="F19" s="5">
        <v>3000</v>
      </c>
      <c r="G19" s="5">
        <v>0</v>
      </c>
      <c r="H19" s="5">
        <v>0</v>
      </c>
      <c r="I19" s="5">
        <v>0</v>
      </c>
      <c r="J19" s="5">
        <v>0</v>
      </c>
      <c r="K19" s="5">
        <v>0</v>
      </c>
      <c r="L19" s="5">
        <v>0</v>
      </c>
      <c r="M19" s="5">
        <v>0</v>
      </c>
      <c r="N19" s="5">
        <v>0</v>
      </c>
      <c r="O19" s="5">
        <v>0</v>
      </c>
    </row>
    <row r="20" spans="1:15" x14ac:dyDescent="0.3">
      <c r="A20" t="s">
        <v>11</v>
      </c>
      <c r="B20" t="s">
        <v>43</v>
      </c>
      <c r="C20" t="s">
        <v>44</v>
      </c>
      <c r="D20" s="5">
        <v>0</v>
      </c>
      <c r="E20" s="5">
        <v>0</v>
      </c>
      <c r="F20" s="5">
        <v>0</v>
      </c>
      <c r="G20" s="5">
        <v>0</v>
      </c>
      <c r="H20" s="5">
        <v>0</v>
      </c>
      <c r="I20" s="5">
        <v>0</v>
      </c>
      <c r="J20" s="5">
        <v>0</v>
      </c>
      <c r="K20" s="5">
        <v>0</v>
      </c>
      <c r="L20" s="5">
        <v>0</v>
      </c>
      <c r="M20" s="5">
        <v>0</v>
      </c>
      <c r="N20" s="5">
        <v>0</v>
      </c>
      <c r="O20" s="5">
        <v>0</v>
      </c>
    </row>
    <row r="21" spans="1:15" x14ac:dyDescent="0.3">
      <c r="A21" t="s">
        <v>11</v>
      </c>
      <c r="B21" t="s">
        <v>45</v>
      </c>
      <c r="C21" s="1" t="s">
        <v>46</v>
      </c>
      <c r="D21" s="5">
        <v>0</v>
      </c>
      <c r="E21" s="5">
        <v>0</v>
      </c>
      <c r="F21" s="5">
        <v>0</v>
      </c>
      <c r="G21" s="5">
        <v>0</v>
      </c>
      <c r="H21" s="5">
        <v>0</v>
      </c>
      <c r="I21" s="5">
        <v>0</v>
      </c>
      <c r="J21" s="5">
        <v>0</v>
      </c>
      <c r="K21" s="5">
        <v>0</v>
      </c>
      <c r="L21" s="5">
        <v>0</v>
      </c>
      <c r="M21" s="5">
        <v>0</v>
      </c>
      <c r="N21" s="5">
        <v>0</v>
      </c>
      <c r="O21" s="5">
        <v>0</v>
      </c>
    </row>
    <row r="22" spans="1:15" x14ac:dyDescent="0.3">
      <c r="A22" t="s">
        <v>47</v>
      </c>
      <c r="C22" t="s">
        <v>48</v>
      </c>
      <c r="D22" s="5">
        <v>0</v>
      </c>
      <c r="E22" s="5">
        <v>0</v>
      </c>
      <c r="F22" s="5">
        <v>0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v>0</v>
      </c>
      <c r="M22" s="5">
        <v>0</v>
      </c>
      <c r="N22" s="5">
        <v>0</v>
      </c>
      <c r="O22" s="5">
        <v>0</v>
      </c>
    </row>
    <row r="23" spans="1:15" x14ac:dyDescent="0.3">
      <c r="A23" t="s">
        <v>11</v>
      </c>
      <c r="B23" t="s">
        <v>49</v>
      </c>
      <c r="C23" s="1" t="s">
        <v>50</v>
      </c>
      <c r="D23" s="6">
        <v>46.738080000000004</v>
      </c>
      <c r="E23" s="6">
        <v>46.738080000000004</v>
      </c>
      <c r="F23" s="6">
        <v>46.738080000000004</v>
      </c>
      <c r="G23" s="6">
        <v>46.738080000000004</v>
      </c>
      <c r="H23" s="6">
        <v>46.738080000000004</v>
      </c>
      <c r="I23" s="6">
        <v>46.738080000000004</v>
      </c>
      <c r="J23" s="6">
        <v>46.738080000000004</v>
      </c>
      <c r="K23" s="6">
        <v>46.738080000000004</v>
      </c>
      <c r="L23" s="6">
        <v>46.738080000000004</v>
      </c>
      <c r="M23" s="6">
        <v>46.738080000000004</v>
      </c>
      <c r="N23" s="6">
        <v>46.738080000000004</v>
      </c>
      <c r="O23" s="6">
        <v>46.738080000000004</v>
      </c>
    </row>
    <row r="24" spans="1:15" x14ac:dyDescent="0.3">
      <c r="A24" t="s">
        <v>11</v>
      </c>
      <c r="B24" t="s">
        <v>51</v>
      </c>
      <c r="C24" t="s">
        <v>52</v>
      </c>
      <c r="D24" s="6">
        <v>144.48599999999999</v>
      </c>
      <c r="E24" s="6">
        <v>144.48599999999999</v>
      </c>
      <c r="F24" s="6">
        <v>144.48599999999999</v>
      </c>
      <c r="G24" s="6">
        <v>144.48599999999999</v>
      </c>
      <c r="H24" s="6">
        <v>144.48599999999999</v>
      </c>
      <c r="I24" s="6">
        <v>144.48599999999999</v>
      </c>
      <c r="J24" s="6">
        <v>144.48599999999999</v>
      </c>
      <c r="K24" s="6">
        <v>144.48599999999999</v>
      </c>
      <c r="L24" s="6">
        <v>144.48599999999999</v>
      </c>
      <c r="M24" s="6">
        <v>144.48599999999999</v>
      </c>
      <c r="N24" s="6">
        <v>144.48599999999999</v>
      </c>
      <c r="O24" s="6">
        <v>144.48599999999999</v>
      </c>
    </row>
    <row r="25" spans="1:15" x14ac:dyDescent="0.3">
      <c r="A25" t="s">
        <v>11</v>
      </c>
      <c r="B25" t="s">
        <v>19</v>
      </c>
      <c r="C25" s="1" t="s">
        <v>53</v>
      </c>
      <c r="D25" s="6">
        <v>0</v>
      </c>
      <c r="E25" s="6">
        <v>0</v>
      </c>
      <c r="F25" s="6">
        <v>0</v>
      </c>
      <c r="G25" s="6">
        <v>0</v>
      </c>
      <c r="H25" s="6">
        <v>0</v>
      </c>
      <c r="I25" s="6">
        <v>0</v>
      </c>
      <c r="J25" s="6">
        <v>0</v>
      </c>
      <c r="K25" s="6">
        <v>0</v>
      </c>
      <c r="L25" s="6">
        <v>0</v>
      </c>
      <c r="M25" s="6">
        <v>0</v>
      </c>
      <c r="N25" s="6">
        <v>0</v>
      </c>
      <c r="O25" s="6">
        <v>0</v>
      </c>
    </row>
    <row r="26" spans="1:15" x14ac:dyDescent="0.3">
      <c r="A26" t="s">
        <v>11</v>
      </c>
      <c r="B26" t="s">
        <v>54</v>
      </c>
      <c r="C26" t="s">
        <v>55</v>
      </c>
      <c r="D26" s="6">
        <v>141.35</v>
      </c>
      <c r="E26" s="6">
        <v>141.35</v>
      </c>
      <c r="F26" s="6">
        <v>141.35</v>
      </c>
      <c r="G26" s="6">
        <v>141.35</v>
      </c>
      <c r="H26" s="6">
        <v>141.35</v>
      </c>
      <c r="I26" s="6">
        <v>141.35</v>
      </c>
      <c r="J26" s="6">
        <v>141.35</v>
      </c>
      <c r="K26" s="6">
        <v>141.35</v>
      </c>
      <c r="L26" s="6">
        <v>141.35</v>
      </c>
      <c r="M26" s="6">
        <v>141.35</v>
      </c>
      <c r="N26" s="6">
        <v>141.35</v>
      </c>
      <c r="O26" s="6">
        <v>141.35</v>
      </c>
    </row>
    <row r="27" spans="1:15" x14ac:dyDescent="0.3">
      <c r="A27" t="s">
        <v>11</v>
      </c>
      <c r="B27" t="s">
        <v>56</v>
      </c>
      <c r="C27" s="1" t="s">
        <v>57</v>
      </c>
      <c r="D27" s="6">
        <v>3394.2339999999999</v>
      </c>
      <c r="E27" s="6">
        <v>3258.2640000000001</v>
      </c>
      <c r="F27" s="6">
        <v>3258.2640000000001</v>
      </c>
      <c r="G27" s="6">
        <v>3258.2640000000001</v>
      </c>
      <c r="H27" s="6">
        <v>3258.2640000000001</v>
      </c>
      <c r="I27" s="6">
        <v>3258.2640000000001</v>
      </c>
      <c r="J27" s="6">
        <v>3258.2640000000001</v>
      </c>
      <c r="K27" s="6">
        <v>3258.2640000000001</v>
      </c>
      <c r="L27" s="6">
        <v>3258.2640000000001</v>
      </c>
      <c r="M27" s="6">
        <v>3258.2640000000001</v>
      </c>
      <c r="N27" s="6">
        <v>3258.2640000000001</v>
      </c>
      <c r="O27" s="6">
        <v>3258.2640000000001</v>
      </c>
    </row>
    <row r="28" spans="1:15" x14ac:dyDescent="0.3">
      <c r="A28" t="s">
        <v>11</v>
      </c>
      <c r="B28" t="s">
        <v>58</v>
      </c>
      <c r="C28" t="s">
        <v>59</v>
      </c>
      <c r="D28" s="6">
        <v>0</v>
      </c>
      <c r="E28" s="6">
        <v>0</v>
      </c>
      <c r="F28" s="6">
        <v>0</v>
      </c>
      <c r="G28" s="6">
        <v>0</v>
      </c>
      <c r="H28" s="6">
        <v>0</v>
      </c>
      <c r="I28" s="6">
        <v>0</v>
      </c>
      <c r="J28" s="6">
        <v>0</v>
      </c>
      <c r="K28" s="6">
        <v>0</v>
      </c>
      <c r="L28" s="6">
        <v>0</v>
      </c>
      <c r="M28" s="6">
        <v>0</v>
      </c>
      <c r="N28" s="6">
        <v>0</v>
      </c>
      <c r="O28" s="6">
        <v>0</v>
      </c>
    </row>
    <row r="29" spans="1:15" ht="15" thickBot="1" x14ac:dyDescent="0.35">
      <c r="A29" t="s">
        <v>11</v>
      </c>
      <c r="B29" t="s">
        <v>60</v>
      </c>
      <c r="C29" s="1" t="s">
        <v>61</v>
      </c>
      <c r="D29" s="7">
        <v>833.41200000000003</v>
      </c>
      <c r="E29" s="7">
        <v>833.41200000000003</v>
      </c>
      <c r="F29" s="7">
        <v>833.41200000000003</v>
      </c>
      <c r="G29" s="7">
        <v>833.41200000000003</v>
      </c>
      <c r="H29" s="7">
        <v>833.41200000000003</v>
      </c>
      <c r="I29" s="7">
        <v>833.41200000000003</v>
      </c>
      <c r="J29" s="7">
        <v>833.41200000000003</v>
      </c>
      <c r="K29" s="7">
        <v>833.41200000000003</v>
      </c>
      <c r="L29" s="7">
        <v>833.41200000000003</v>
      </c>
      <c r="M29" s="7">
        <v>833.41200000000003</v>
      </c>
      <c r="N29" s="7">
        <v>833.41200000000003</v>
      </c>
      <c r="O29" s="7">
        <v>833.41200000000003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2026-05-18T16:32:11Z</dcterms:created>
  <dcterms:modified xsi:type="dcterms:W3CDTF">2026-05-18T16:33:07Z</dcterms:modified>
</cp:coreProperties>
</file>