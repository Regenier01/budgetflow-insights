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C1EED3C6-B185-4246-9BE3-84D805191784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3" i="1"/>
  <c r="B9" i="1"/>
  <c r="B8" i="1"/>
  <c r="B7" i="1"/>
  <c r="B6" i="1"/>
  <c r="B5" i="1"/>
  <c r="B4" i="1"/>
  <c r="B2" i="1"/>
  <c r="I3" i="1"/>
  <c r="I7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<sst xmlns="http://schemas.openxmlformats.org/spreadsheetml/2006/main" count="39" uniqueCount="34">
  <si>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</si>
  <si>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</si>
  <si>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</si>
  <si>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</si>
  <si>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</si>
  <si>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</si>
  <si>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</si>
  <si>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</si>
  <si>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</si>
  <si>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</si>
  <si>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</si>
  <si>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</si>
  <si>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</si>
  <si>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</si>
  <si>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</si>
  <si>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</si>
  <si>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</si>
  <si>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</si>
  <si>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</si>
  <si>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</si>
  <si>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</si>
  <si>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</si>
  <si>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</si>
  <si>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</si>
  <si>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</si>
  <si>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</si>
  <si>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</si>
  <si>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</si>
  <si>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</si>
  <si>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MACHO RECRIA</t>
  </si>
  <si>
    <t>FEMEA RECRIA</t>
  </si>
  <si>
    <t>QTDE</t>
  </si>
  <si>
    <t>CUSTO MÉDIO</t>
  </si>
  <si>
    <t>Fazenda 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</si>
</sst>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L20"/>
  <sheetViews>
    <sheetView tabSelected="1" workbookViewId="0">
      <selection activeCell="I12" sqref="I12"/>
    </sheetView>
  </sheetViews>
  <sheetFormatPr defaultRowHeight="14.4" x14ac:dyDescent="0.3"/>
  <cols>
    <col min="1" max="1" width="25.33203125" customWidth="1"/>
    <col min="2" max="2" width="11.88671875" bestFit="1" customWidth="1"/>
    <col min="4" max="4" width="24.5546875" bestFit="1" customWidth="1"/>
    <col min="5" max="5" width="12.6640625" bestFit="1" customWidth="1"/>
    <col min="7" max="7" width="19.33203125" bestFit="1" customWidth="1"/>
    <col min="8" max="8" width="19.44140625" bestFit="1" customWidth="1"/>
    <col min="9" max="9" width="12.6640625" bestFit="1" customWidth="1"/>
    <col min="10" max="10" width="11.6640625" bestFit="1" customWidth="1"/>
    <col min="11" max="12" width="12.6640625" bestFit="1" customWidth="1"/>
  </cols>
  <sheetData>
    <row r="1" spans="1:12" x14ac:dyDescent="0.3">
      <c r="A1" s="1" t="s">
        <v>11</v>
      </c>
      <c r="B1" s="1" t="s">
        <v>12</v>
      </c>
      <c r="D1" s="1" t="s">
        <v>13</v>
      </c>
      <c r="E1" s="1" t="s">
        <v>23</v>
      </c>
      <c r="G1" s="1" t="s">
        <v>25</v>
      </c>
      <c r="H1" s="1"/>
    </row>
    <row r="2" spans="1:12" x14ac:dyDescent="0.3">
      <c r="A2" t="s">
        <v>0</v>
      </c>
      <c r="B2" s="3">
        <f>906-10-5</f>
        <v>891</v>
      </c>
      <c r="D2" t="s">
        <v>14</v>
      </c>
      <c r="E2" s="3">
        <v>2396.7144428707725</v>
      </c>
      <c r="G2" s="1" t="s">
        <v>12</v>
      </c>
      <c r="H2" s="1" t="s">
        <v>27</v>
      </c>
      <c r="I2" t="s">
        <v>28</v>
      </c>
    </row>
    <row r="3" spans="1:12" x14ac:dyDescent="0.3">
      <c r="A3" t="s">
        <v>1</v>
      </c>
      <c r="B3" s="3">
        <f>20511-5-2-6-2-7</f>
        <v>20489</v>
      </c>
      <c r="D3" s="2" t="s">
        <v>15</v>
      </c>
      <c r="E3" s="3">
        <v>6838.2263466182503</v>
      </c>
      <c r="G3" s="3">
        <v>6908753.7400000002</v>
      </c>
      <c r="H3" s="3">
        <v>1034245.86</v>
      </c>
      <c r="I3" s="3">
        <f>H3/G3</f>
        <v>0.14970078525334729</v>
      </c>
    </row>
    <row r="4" spans="1:12" x14ac:dyDescent="0.3">
      <c r="A4" t="s">
        <v>2</v>
      </c>
      <c r="B4" s="3">
        <f>90-3-3-4</f>
        <v>80</v>
      </c>
      <c r="D4" t="s">
        <v>16</v>
      </c>
      <c r="E4" s="3">
        <v>4358.5661543656815</v>
      </c>
    </row>
    <row r="5" spans="1:12" x14ac:dyDescent="0.3">
      <c r="A5" t="s">
        <v>3</v>
      </c>
      <c r="B5" s="3">
        <f>565-13-19</f>
        <v>533</v>
      </c>
      <c r="D5" t="s">
        <v>17</v>
      </c>
      <c r="E5" s="3">
        <v>3595.2519631001551</v>
      </c>
      <c r="G5" s="1" t="s">
        <v>26</v>
      </c>
    </row>
    <row r="6" spans="1:12" x14ac:dyDescent="0.3">
      <c r="A6" t="s">
        <v>4</v>
      </c>
      <c r="B6" s="3">
        <f>6060-61-1-57-3-23</f>
        <v>5915</v>
      </c>
      <c r="D6" t="s">
        <v>18</v>
      </c>
      <c r="E6" s="3">
        <v>4823.1404982871827</v>
      </c>
      <c r="G6" s="1" t="s">
        <v>12</v>
      </c>
      <c r="H6" s="1" t="s">
        <v>27</v>
      </c>
      <c r="I6" t="s">
        <v>28</v>
      </c>
    </row>
    <row r="7" spans="1:12" x14ac:dyDescent="0.3">
      <c r="A7" t="s">
        <v>5</v>
      </c>
      <c r="B7" s="3">
        <f>236</f>
        <v>236</v>
      </c>
      <c r="D7" t="s">
        <v>19</v>
      </c>
      <c r="E7" s="3">
        <v>3075.8929853855739</v>
      </c>
      <c r="G7" s="3">
        <v>9298851</v>
      </c>
      <c r="H7" s="3">
        <v>7497603.6500000004</v>
      </c>
      <c r="I7" s="3">
        <f>H7/G7</f>
        <v>0.80629355712872486</v>
      </c>
    </row>
    <row r="8" spans="1:12" x14ac:dyDescent="0.3">
      <c r="A8" t="s">
        <v>6</v>
      </c>
      <c r="B8" s="3">
        <f>5135-43-45-18</f>
        <v>5029</v>
      </c>
      <c r="D8" t="s">
        <v>20</v>
      </c>
      <c r="E8" s="3">
        <v>5453.1175430119229</v>
      </c>
    </row>
    <row r="9" spans="1:12" x14ac:dyDescent="0.3">
      <c r="A9" t="s">
        <v>7</v>
      </c>
      <c r="B9" s="3">
        <f>5529-4-25-15</f>
        <v>5485</v>
      </c>
      <c r="D9" t="s">
        <v>21</v>
      </c>
      <c r="E9" s="3">
        <v>4602.4657199813537</v>
      </c>
    </row>
    <row r="10" spans="1:12" x14ac:dyDescent="0.3">
      <c r="A10" t="s">
        <v>8</v>
      </c>
      <c r="B10" s="3">
        <f>646-1</f>
        <v>645</v>
      </c>
      <c r="D10" t="s">
        <v>22</v>
      </c>
      <c r="E10" s="3">
        <v>8822.5697086975506</v>
      </c>
    </row>
    <row r="11" spans="1:12" x14ac:dyDescent="0.3">
      <c r="A11" t="s">
        <v>9</v>
      </c>
      <c r="B11" s="3">
        <f>331-1-3</f>
        <v>327</v>
      </c>
      <c r="D11" t="s">
        <v>24</v>
      </c>
      <c r="E11" s="3">
        <v>5969.1608205987604</v>
      </c>
      <c r="G11" s="1" t="s">
        <v>13</v>
      </c>
      <c r="H11" s="1" t="s">
        <v>31</v>
      </c>
      <c r="I11" s="1" t="s">
        <v>32</v>
      </c>
    </row>
    <row r="12" spans="1:12" x14ac:dyDescent="0.3">
      <c r="A12" t="s">
        <v>33</v>
      </c>
      <c r="B12" s="3">
        <f>638-2-3-3</f>
        <v>630</v>
      </c>
      <c r="G12" t="s">
        <v>29</v>
      </c>
      <c r="H12" s="4">
        <v>13983</v>
      </c>
      <c r="I12" s="4">
        <v>4655.5165007748337</v>
      </c>
      <c r="J12" s="4"/>
      <c r="K12" s="4"/>
    </row>
    <row r="13" spans="1:12" x14ac:dyDescent="0.3">
      <c r="A13" t="s">
        <v>10</v>
      </c>
      <c r="B13" s="3">
        <f>805</f>
        <v>805</v>
      </c>
      <c r="G13" t="s">
        <v>30</v>
      </c>
      <c r="H13" s="4">
        <v>4969</v>
      </c>
      <c r="I13" s="4">
        <v>3176.4153926588328</v>
      </c>
      <c r="J13" s="4"/>
      <c r="L13" s="5"/>
    </row>
    <row r="15" spans="1:12" x14ac:dyDescent="0.3">
      <c r="G15" s="4"/>
      <c r="H15" s="4"/>
    </row>
    <row r="16" spans="1:12" x14ac:dyDescent="0.3">
      <c r="H16" s="4"/>
      <c r="I16" s="4"/>
      <c r="J16" s="4"/>
      <c r="K16" s="4"/>
      <c r="L16" s="4"/>
    </row>
    <row r="17" spans="8:12" x14ac:dyDescent="0.3">
      <c r="H17" s="4"/>
      <c r="I17" s="4"/>
      <c r="J17" s="4"/>
      <c r="K17" s="4"/>
      <c r="L17" s="4"/>
    </row>
    <row r="20" spans="8:12" x14ac:dyDescent="0.3">
      <c r="H20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cp:lastPrinted>2026-08-11T19:44:44Z</cp:lastPrinted>
  <dcterms:created xsi:type="dcterms:W3CDTF">2026-06-11T12:10:37Z</dcterms:created>
  <dcterms:modified xsi:type="dcterms:W3CDTF">2026-10-09T18:09:42Z</dcterms:modified>
</cp:coreProperties>
</file>