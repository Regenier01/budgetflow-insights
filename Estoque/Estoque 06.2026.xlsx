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Estoque\"/>
    </mc:Choice>
  </mc:AlternateContent>
  <xr:revisionPtr revIDLastSave="0" documentId="13_ncr:1_{70F0DAAD-5D0D-4A86-99EA-118645A2950C}" xr6:coauthVersionLast="47" xr6:coauthVersionMax="47" xr10:uidLastSave="{00000000-0000-0000-0000-000000000000}"/>
  <bookViews>
    <workbookView xWindow="-108" yWindow="-108" windowWidth="23256" windowHeight="12456" xr2:uid="{8E53B96B-8C82-452A-AAB2-5E3C25B6EC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3" i="1"/>
  <c r="B9" i="1"/>
  <c r="B8" i="1"/>
  <c r="B7" i="1"/>
  <c r="B6" i="1"/>
  <c r="B5" i="1"/>
  <c r="B4" i="1"/>
  <c r="B2" i="1"/>
  <c r="I7" i="1"/>
  <c r="I3" i="1"/>
</calcChain>
</file>

<file path=xl/sharedStrings.xml><?xml version="1.0" encoding="utf-8"?>
<sst xmlns="http://schemas.openxmlformats.org/spreadsheetml/2006/main" count="39" uniqueCount="34">
  <si>
    <t xml:space="preserve">Fazenda Vera Cruz - Furnas </t>
  </si>
  <si>
    <t>Confinamento</t>
  </si>
  <si>
    <t>Fazenda Porteiras</t>
  </si>
  <si>
    <t>Fazenda Codora</t>
  </si>
  <si>
    <t>Fazenda Jóia Bonópolis</t>
  </si>
  <si>
    <t>Fazenda Covoá</t>
  </si>
  <si>
    <t>Fazenda Bandeirantes</t>
  </si>
  <si>
    <t>Fazenda Jóia Mutunópolis</t>
  </si>
  <si>
    <t>Centro Comercial de Touros</t>
  </si>
  <si>
    <t>Fazenda União</t>
  </si>
  <si>
    <t>Fazenda Canandá</t>
  </si>
  <si>
    <t>Fazenda Aroeira</t>
  </si>
  <si>
    <t>DEPARTAMENTO</t>
  </si>
  <si>
    <t>QUANTIDADE</t>
  </si>
  <si>
    <t>CATEGORIA</t>
  </si>
  <si>
    <t xml:space="preserve">MATRIZES </t>
  </si>
  <si>
    <t>REPRODUTORES</t>
  </si>
  <si>
    <t>BEZERROS ATÉ 1 ANO</t>
  </si>
  <si>
    <t>BEZERRAS ATÉ 1 ANO</t>
  </si>
  <si>
    <t>BEZERROS DE 1 A 2 ANOS</t>
  </si>
  <si>
    <t>BEZERRAS DE 1 A 2 ANOS</t>
  </si>
  <si>
    <t>NOVILHOS DE 24 A 36 MESES</t>
  </si>
  <si>
    <t>NOVILHAS DE 24 A 36 MESES</t>
  </si>
  <si>
    <t>NOVILHOS + 36 MESES</t>
  </si>
  <si>
    <t>CUSTO MEDIO</t>
  </si>
  <si>
    <t>CONFINAMENTO</t>
  </si>
  <si>
    <t>PALHA</t>
  </si>
  <si>
    <t>GRAOS REIDRATADOS</t>
  </si>
  <si>
    <t>VALOR TOTAL</t>
  </si>
  <si>
    <t>PREÇO/KG</t>
  </si>
  <si>
    <t>MACHO RECRIA</t>
  </si>
  <si>
    <t>FEMEA RECRIA</t>
  </si>
  <si>
    <t>QTDE</t>
  </si>
  <si>
    <t>CUSTO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</si>
</sst>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1" xfId="0" applyNumberFormat="1" applyBorder="1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0105-4138-4C1C-8F61-B2C114D92FF9}">
  <dimension ref="A1:L17"/>
  <sheetViews>
    <sheetView tabSelected="1" workbookViewId="0"/>
  </sheetViews>
  <sheetFormatPr defaultRowHeight="14.4" x14ac:dyDescent="0.3"/>
  <cols>
    <col min="1" max="1" width="23.5546875" bestFit="1" customWidth="1"/>
    <col min="2" max="2" width="11.88671875" bestFit="1" customWidth="1"/>
    <col min="4" max="4" width="24.5546875" bestFit="1" customWidth="1"/>
    <col min="5" max="5" width="12.6640625" bestFit="1" customWidth="1"/>
    <col min="7" max="7" width="19.33203125" bestFit="1" customWidth="1"/>
    <col min="8" max="8" width="19.44140625" bestFit="1" customWidth="1"/>
    <col min="9" max="9" width="12.6640625" bestFit="1" customWidth="1"/>
    <col min="10" max="10" width="11.6640625" bestFit="1" customWidth="1"/>
    <col min="11" max="11" width="10.109375" bestFit="1" customWidth="1"/>
    <col min="12" max="12" width="12.6640625" bestFit="1" customWidth="1"/>
  </cols>
  <sheetData>
    <row r="1" spans="1:12" x14ac:dyDescent="0.3">
      <c r="A1" s="1" t="s">
        <v>12</v>
      </c>
      <c r="B1" s="1" t="s">
        <v>13</v>
      </c>
      <c r="D1" s="1" t="s">
        <v>14</v>
      </c>
      <c r="E1" s="1" t="s">
        <v>24</v>
      </c>
      <c r="G1" s="1" t="s">
        <v>26</v>
      </c>
      <c r="H1" s="1"/>
    </row>
    <row r="2" spans="1:12" x14ac:dyDescent="0.3">
      <c r="A2" t="s">
        <v>0</v>
      </c>
      <c r="B2" s="4">
        <f>2201-10-5</f>
        <v>2186</v>
      </c>
      <c r="D2" t="s">
        <v>15</v>
      </c>
      <c r="E2" s="3">
        <v>2342.695074243104</v>
      </c>
      <c r="G2" s="1" t="s">
        <v>13</v>
      </c>
      <c r="H2" s="1" t="s">
        <v>28</v>
      </c>
      <c r="I2" t="s">
        <v>29</v>
      </c>
    </row>
    <row r="3" spans="1:12" x14ac:dyDescent="0.3">
      <c r="A3" t="s">
        <v>1</v>
      </c>
      <c r="B3" s="4">
        <f>21062-5-2-6-2-7</f>
        <v>21040</v>
      </c>
      <c r="D3" s="2" t="s">
        <v>16</v>
      </c>
      <c r="E3" s="3">
        <v>6791.0162312378534</v>
      </c>
      <c r="G3" s="3">
        <v>1562320</v>
      </c>
      <c r="H3" s="3">
        <v>843652.8</v>
      </c>
      <c r="I3" s="4">
        <f>H3/G3</f>
        <v>0.54</v>
      </c>
    </row>
    <row r="4" spans="1:12" x14ac:dyDescent="0.3">
      <c r="A4" t="s">
        <v>2</v>
      </c>
      <c r="B4" s="4">
        <f>86-3-3-4</f>
        <v>76</v>
      </c>
      <c r="D4" t="s">
        <v>17</v>
      </c>
      <c r="E4" s="3">
        <v>4149.9876701020776</v>
      </c>
    </row>
    <row r="5" spans="1:12" x14ac:dyDescent="0.3">
      <c r="A5" t="s">
        <v>3</v>
      </c>
      <c r="B5" s="4">
        <f>951-13-19</f>
        <v>919</v>
      </c>
      <c r="D5" t="s">
        <v>18</v>
      </c>
      <c r="E5" s="3">
        <v>3700.091919137893</v>
      </c>
      <c r="G5" s="1" t="s">
        <v>27</v>
      </c>
    </row>
    <row r="6" spans="1:12" x14ac:dyDescent="0.3">
      <c r="A6" t="s">
        <v>4</v>
      </c>
      <c r="B6" s="4">
        <f>8345-61-1-57-3-23</f>
        <v>8200</v>
      </c>
      <c r="D6" t="s">
        <v>19</v>
      </c>
      <c r="E6" s="3">
        <v>4461.2614486615003</v>
      </c>
      <c r="G6" s="1" t="s">
        <v>13</v>
      </c>
      <c r="H6" s="1" t="s">
        <v>28</v>
      </c>
      <c r="I6" t="s">
        <v>29</v>
      </c>
    </row>
    <row r="7" spans="1:12" x14ac:dyDescent="0.3">
      <c r="A7" t="s">
        <v>5</v>
      </c>
      <c r="B7" s="4">
        <f>69</f>
        <v>69</v>
      </c>
      <c r="D7" t="s">
        <v>20</v>
      </c>
      <c r="E7" s="3">
        <v>3084.4939370192583</v>
      </c>
      <c r="G7" s="4">
        <v>7556561</v>
      </c>
      <c r="H7" s="3">
        <v>4458370.99</v>
      </c>
      <c r="I7" s="4">
        <f>H7/G7</f>
        <v>0.59000000000000008</v>
      </c>
    </row>
    <row r="8" spans="1:12" x14ac:dyDescent="0.3">
      <c r="A8" t="s">
        <v>6</v>
      </c>
      <c r="B8" s="4">
        <f>5673-43-45-18-32</f>
        <v>5535</v>
      </c>
      <c r="D8" t="s">
        <v>21</v>
      </c>
      <c r="E8" s="3">
        <v>4648.7207252275648</v>
      </c>
    </row>
    <row r="9" spans="1:12" x14ac:dyDescent="0.3">
      <c r="A9" t="s">
        <v>7</v>
      </c>
      <c r="B9" s="4">
        <f>6392-4-25-15</f>
        <v>6348</v>
      </c>
      <c r="D9" t="s">
        <v>22</v>
      </c>
      <c r="E9" s="3">
        <v>4116.3740428597084</v>
      </c>
    </row>
    <row r="10" spans="1:12" x14ac:dyDescent="0.3">
      <c r="A10" t="s">
        <v>8</v>
      </c>
      <c r="B10" s="4">
        <f>115-1</f>
        <v>114</v>
      </c>
      <c r="D10" t="s">
        <v>23</v>
      </c>
      <c r="E10" s="3">
        <v>8498.902033646209</v>
      </c>
    </row>
    <row r="11" spans="1:12" x14ac:dyDescent="0.3">
      <c r="A11" t="s">
        <v>9</v>
      </c>
      <c r="B11" s="4">
        <f>552-1-3</f>
        <v>548</v>
      </c>
      <c r="D11" t="s">
        <v>25</v>
      </c>
      <c r="E11" s="3">
        <v>5439.2956144709387</v>
      </c>
      <c r="G11" s="1" t="s">
        <v>14</v>
      </c>
      <c r="H11" s="1" t="s">
        <v>32</v>
      </c>
      <c r="I11" s="1" t="s">
        <v>33</v>
      </c>
    </row>
    <row r="12" spans="1:12" x14ac:dyDescent="0.3">
      <c r="A12" t="s">
        <v>10</v>
      </c>
      <c r="B12" s="4">
        <f>1072-2-3-3</f>
        <v>1064</v>
      </c>
      <c r="G12" t="s">
        <v>30</v>
      </c>
      <c r="H12" s="5">
        <v>18399</v>
      </c>
      <c r="I12" s="5">
        <v>4391.7627481739937</v>
      </c>
      <c r="J12" s="5"/>
    </row>
    <row r="13" spans="1:12" x14ac:dyDescent="0.3">
      <c r="A13" t="s">
        <v>11</v>
      </c>
      <c r="B13" s="4">
        <f>254</f>
        <v>254</v>
      </c>
      <c r="G13" t="s">
        <v>31</v>
      </c>
      <c r="H13" s="5">
        <v>4866</v>
      </c>
      <c r="I13" s="5">
        <v>2996.5954727296535</v>
      </c>
      <c r="J13" s="5"/>
    </row>
    <row r="16" spans="1:12" x14ac:dyDescent="0.3">
      <c r="H16" s="5"/>
      <c r="I16" s="5"/>
      <c r="J16" s="5"/>
      <c r="K16" s="5"/>
      <c r="L16" s="5"/>
    </row>
    <row r="17" spans="8:12" x14ac:dyDescent="0.3">
      <c r="H17" s="5"/>
      <c r="I17" s="5"/>
      <c r="J17" s="5"/>
      <c r="K17" s="5"/>
      <c r="L1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2026-06-11T12:10:37Z</dcterms:created>
  <dcterms:modified xsi:type="dcterms:W3CDTF">2026-07-10T11:25:57Z</dcterms:modified>
</cp:coreProperties>
</file>