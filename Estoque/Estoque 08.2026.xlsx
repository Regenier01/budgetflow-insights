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Estoque\"/>
    </mc:Choice>
  </mc:AlternateContent>
  <xr:revisionPtr revIDLastSave="0" documentId="13_ncr:1_{0C710587-E998-409C-A95C-2A80C3321A9D}" xr6:coauthVersionLast="47" xr6:coauthVersionMax="47" xr10:uidLastSave="{00000000-0000-0000-0000-000000000000}"/>
  <bookViews>
    <workbookView xWindow="-108" yWindow="-108" windowWidth="23256" windowHeight="12456" xr2:uid="{8E53B96B-8C82-452A-AAB2-5E3C25B6EC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7" i="1"/>
  <c r="B6" i="1" l="1"/>
  <c r="B9" i="1"/>
  <c r="B12" i="1"/>
  <c r="B11" i="1"/>
  <c r="B10" i="1"/>
  <c r="B3" i="1"/>
  <c r="B8" i="1"/>
  <c r="B5" i="1"/>
  <c r="B4" i="1"/>
  <c r="B2" i="1"/>
</calcChain>
</file>

<file path=xl/sharedStrings.xml><?xml version="1.0" encoding="utf-8"?>
<sst xmlns="http://schemas.openxmlformats.org/spreadsheetml/2006/main" count="39" uniqueCount="34">
  <si>
    <t xml:space="preserve">Fazenda Vera Cruz - Furnas </t>
  </si>
  <si>
    <t>Confinamento</t>
  </si>
  <si>
    <t>Fazenda Porteiras</t>
  </si>
  <si>
    <t>Fazenda Codora</t>
  </si>
  <si>
    <t>Fazenda Jóia Bonópolis</t>
  </si>
  <si>
    <t>Fazenda Covoá</t>
  </si>
  <si>
    <t>Fazenda Bandeirantes</t>
  </si>
  <si>
    <t>Fazenda Jóia Mutunópolis</t>
  </si>
  <si>
    <t>Centro Comercial de Touros</t>
  </si>
  <si>
    <t>Fazenda União</t>
  </si>
  <si>
    <t>Fazenda Aroeira</t>
  </si>
  <si>
    <t>DEPARTAMENTO</t>
  </si>
  <si>
    <t>QUANTIDADE</t>
  </si>
  <si>
    <t>CATEGORIA</t>
  </si>
  <si>
    <t xml:space="preserve">MATRIZES </t>
  </si>
  <si>
    <t>REPRODUTORES</t>
  </si>
  <si>
    <t>BEZERROS ATÉ 1 ANO</t>
  </si>
  <si>
    <t>BEZERRAS ATÉ 1 ANO</t>
  </si>
  <si>
    <t>BEZERROS DE 1 A 2 ANOS</t>
  </si>
  <si>
    <t>BEZERRAS DE 1 A 2 ANOS</t>
  </si>
  <si>
    <t>NOVILHOS DE 24 A 36 MESES</t>
  </si>
  <si>
    <t>NOVILHAS DE 24 A 36 MESES</t>
  </si>
  <si>
    <t>NOVILHOS + 36 MESES</t>
  </si>
  <si>
    <t>CUSTO MEDIO</t>
  </si>
  <si>
    <t>CONFINAMENTO</t>
  </si>
  <si>
    <t>PALHA</t>
  </si>
  <si>
    <t>GRAOS REIDRATADOS</t>
  </si>
  <si>
    <t>VALOR TOTAL</t>
  </si>
  <si>
    <t>PREÇO/KG</t>
  </si>
  <si>
    <t>MACHO RECRIA</t>
  </si>
  <si>
    <t>FEMEA RECRIA</t>
  </si>
  <si>
    <t>QTDE</t>
  </si>
  <si>
    <t>CUSTO MÉDIO</t>
  </si>
  <si>
    <t>Fazenda 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</si>
</sst>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105-4138-4C1C-8F61-B2C114D92FF9}">
  <dimension ref="A1:L20"/>
  <sheetViews>
    <sheetView tabSelected="1" workbookViewId="0">
      <selection activeCell="I7" sqref="I7"/>
    </sheetView>
  </sheetViews>
  <sheetFormatPr defaultRowHeight="14.4" x14ac:dyDescent="0.3"/>
  <cols>
    <col min="1" max="1" width="23.5546875" bestFit="1" customWidth="1"/>
    <col min="2" max="2" width="11.88671875" bestFit="1" customWidth="1"/>
    <col min="4" max="4" width="24.5546875" bestFit="1" customWidth="1"/>
    <col min="5" max="5" width="12.6640625" bestFit="1" customWidth="1"/>
    <col min="7" max="7" width="19.33203125" bestFit="1" customWidth="1"/>
    <col min="8" max="8" width="19.44140625" bestFit="1" customWidth="1"/>
    <col min="9" max="9" width="12.6640625" bestFit="1" customWidth="1"/>
    <col min="10" max="10" width="11.6640625" bestFit="1" customWidth="1"/>
    <col min="11" max="11" width="10.109375" bestFit="1" customWidth="1"/>
    <col min="12" max="12" width="12.6640625" bestFit="1" customWidth="1"/>
  </cols>
  <sheetData>
    <row r="1" spans="1:12" x14ac:dyDescent="0.3">
      <c r="A1" s="1" t="s">
        <v>11</v>
      </c>
      <c r="B1" s="1" t="s">
        <v>12</v>
      </c>
      <c r="D1" s="1" t="s">
        <v>13</v>
      </c>
      <c r="E1" s="1" t="s">
        <v>23</v>
      </c>
      <c r="G1" s="1" t="s">
        <v>25</v>
      </c>
      <c r="H1" s="1"/>
    </row>
    <row r="2" spans="1:12" x14ac:dyDescent="0.3">
      <c r="A2" t="s">
        <v>0</v>
      </c>
      <c r="B2" s="3">
        <f>920-10-5</f>
        <v>905</v>
      </c>
      <c r="D2" t="s">
        <v>14</v>
      </c>
      <c r="E2" s="3">
        <v>2373.4273277127731</v>
      </c>
      <c r="G2" s="1" t="s">
        <v>12</v>
      </c>
      <c r="H2" s="1" t="s">
        <v>27</v>
      </c>
      <c r="I2" t="s">
        <v>28</v>
      </c>
    </row>
    <row r="3" spans="1:12" x14ac:dyDescent="0.3">
      <c r="A3" t="s">
        <v>1</v>
      </c>
      <c r="B3" s="3">
        <f>22371-5-2-6-2-7</f>
        <v>22349</v>
      </c>
      <c r="D3" s="2" t="s">
        <v>15</v>
      </c>
      <c r="E3" s="3">
        <v>6914.6852531990153</v>
      </c>
      <c r="G3" s="3">
        <v>1101091</v>
      </c>
      <c r="H3" s="3">
        <v>1015789.52</v>
      </c>
      <c r="I3" s="3">
        <f>H3/G3</f>
        <v>0.92253003611872231</v>
      </c>
    </row>
    <row r="4" spans="1:12" x14ac:dyDescent="0.3">
      <c r="A4" t="s">
        <v>2</v>
      </c>
      <c r="B4" s="3">
        <f>88-3-3-4</f>
        <v>78</v>
      </c>
      <c r="D4" t="s">
        <v>16</v>
      </c>
      <c r="E4" s="3">
        <v>4408.0644800051004</v>
      </c>
    </row>
    <row r="5" spans="1:12" x14ac:dyDescent="0.3">
      <c r="A5" t="s">
        <v>3</v>
      </c>
      <c r="B5" s="3">
        <f>635-13-19</f>
        <v>603</v>
      </c>
      <c r="D5" t="s">
        <v>17</v>
      </c>
      <c r="E5" s="3">
        <v>3833.1873484817088</v>
      </c>
      <c r="G5" s="1" t="s">
        <v>26</v>
      </c>
    </row>
    <row r="6" spans="1:12" x14ac:dyDescent="0.3">
      <c r="A6" t="s">
        <v>4</v>
      </c>
      <c r="B6" s="3">
        <f>6479-61-1-60-23</f>
        <v>6334</v>
      </c>
      <c r="D6" t="s">
        <v>18</v>
      </c>
      <c r="E6" s="3">
        <v>4679.3070215100843</v>
      </c>
      <c r="G6" s="1" t="s">
        <v>12</v>
      </c>
      <c r="H6" s="1" t="s">
        <v>27</v>
      </c>
      <c r="I6" t="s">
        <v>28</v>
      </c>
    </row>
    <row r="7" spans="1:12" x14ac:dyDescent="0.3">
      <c r="A7" t="s">
        <v>5</v>
      </c>
      <c r="B7" s="3">
        <v>4</v>
      </c>
      <c r="D7" t="s">
        <v>19</v>
      </c>
      <c r="E7" s="3">
        <v>2945.0174291824337</v>
      </c>
      <c r="G7" s="3">
        <v>9295014</v>
      </c>
      <c r="H7" s="3">
        <v>5630964.9900000002</v>
      </c>
      <c r="I7" s="3">
        <f>H7/G7</f>
        <v>0.60580489604426635</v>
      </c>
    </row>
    <row r="8" spans="1:12" x14ac:dyDescent="0.3">
      <c r="A8" t="s">
        <v>6</v>
      </c>
      <c r="B8" s="3">
        <f>4889-43-45-18</f>
        <v>4783</v>
      </c>
      <c r="D8" t="s">
        <v>20</v>
      </c>
      <c r="E8" s="3">
        <v>5270.5564034943909</v>
      </c>
    </row>
    <row r="9" spans="1:12" x14ac:dyDescent="0.3">
      <c r="A9" t="s">
        <v>7</v>
      </c>
      <c r="B9" s="3">
        <f>6279-4-25-15</f>
        <v>6235</v>
      </c>
      <c r="D9" t="s">
        <v>21</v>
      </c>
      <c r="E9" s="3">
        <v>4397.1684058957208</v>
      </c>
    </row>
    <row r="10" spans="1:12" x14ac:dyDescent="0.3">
      <c r="A10" t="s">
        <v>8</v>
      </c>
      <c r="B10" s="3">
        <f>396-1</f>
        <v>395</v>
      </c>
      <c r="D10" t="s">
        <v>22</v>
      </c>
      <c r="E10" s="3">
        <v>8919.1681969546207</v>
      </c>
    </row>
    <row r="11" spans="1:12" x14ac:dyDescent="0.3">
      <c r="A11" t="s">
        <v>9</v>
      </c>
      <c r="B11" s="3">
        <f>463-1-3</f>
        <v>459</v>
      </c>
      <c r="D11" t="s">
        <v>24</v>
      </c>
      <c r="E11" s="3">
        <v>5634.9753818361141</v>
      </c>
      <c r="G11" s="1" t="s">
        <v>13</v>
      </c>
      <c r="H11" s="1" t="s">
        <v>31</v>
      </c>
      <c r="I11" s="1" t="s">
        <v>32</v>
      </c>
    </row>
    <row r="12" spans="1:12" x14ac:dyDescent="0.3">
      <c r="A12" t="s">
        <v>33</v>
      </c>
      <c r="B12" s="3">
        <f>1064-2-3-3</f>
        <v>1056</v>
      </c>
      <c r="G12" t="s">
        <v>29</v>
      </c>
      <c r="H12" s="4">
        <v>14825</v>
      </c>
      <c r="I12" s="4">
        <v>4607.8835373233378</v>
      </c>
      <c r="J12" s="4"/>
    </row>
    <row r="13" spans="1:12" x14ac:dyDescent="0.3">
      <c r="A13" t="s">
        <v>10</v>
      </c>
      <c r="B13" s="3">
        <v>582</v>
      </c>
      <c r="G13" t="s">
        <v>30</v>
      </c>
      <c r="H13" s="4">
        <v>4131</v>
      </c>
      <c r="I13" s="4">
        <v>3741.1791493090295</v>
      </c>
      <c r="J13" s="4"/>
    </row>
    <row r="15" spans="1:12" x14ac:dyDescent="0.3">
      <c r="H15" s="4"/>
    </row>
    <row r="16" spans="1:12" x14ac:dyDescent="0.3">
      <c r="H16" s="4"/>
      <c r="I16" s="4"/>
      <c r="J16" s="4"/>
      <c r="K16" s="4"/>
      <c r="L16" s="4"/>
    </row>
    <row r="17" spans="8:12" x14ac:dyDescent="0.3">
      <c r="H17" s="4"/>
      <c r="I17" s="4"/>
      <c r="J17" s="4"/>
      <c r="K17" s="4"/>
      <c r="L17" s="4"/>
    </row>
    <row r="20" spans="8:12" x14ac:dyDescent="0.3">
      <c r="H20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cp:lastPrinted>2026-08-11T19:44:44Z</cp:lastPrinted>
  <dcterms:created xsi:type="dcterms:W3CDTF">2026-06-11T12:10:37Z</dcterms:created>
  <dcterms:modified xsi:type="dcterms:W3CDTF">2026-09-11T13:40:22Z</dcterms:modified>
</cp:coreProperties>
</file>