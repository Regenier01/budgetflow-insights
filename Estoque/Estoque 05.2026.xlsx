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Estoque\"/>
    </mc:Choice>
  </mc:AlternateContent>
  <xr:revisionPtr revIDLastSave="0" documentId="13_ncr:1_{D90F0289-25A8-43EC-A70E-07394646BCB9}" xr6:coauthVersionLast="47" xr6:coauthVersionMax="47" xr10:uidLastSave="{00000000-0000-0000-0000-000000000000}"/>
  <bookViews>
    <workbookView xWindow="-108" yWindow="-108" windowWidth="23256" windowHeight="12456" xr2:uid="{8E53B96B-8C82-452A-AAB2-5E3C25B6EC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1" l="1"/>
  <c r="B8" i="1" l="1"/>
  <c r="B13" i="1" l="1"/>
  <c r="B12" i="1"/>
  <c r="B11" i="1"/>
  <c r="B10" i="1"/>
  <c r="B3" i="1"/>
  <c r="B9" i="1"/>
  <c r="B7" i="1"/>
  <c r="B6" i="1"/>
  <c r="B5" i="1"/>
  <c r="B4" i="1"/>
  <c r="B2" i="1"/>
</calcChain>
</file>

<file path=xl/sharedStrings.xml><?xml version="1.0" encoding="utf-8"?>
<sst xmlns="http://schemas.openxmlformats.org/spreadsheetml/2006/main" count="39" uniqueCount="34">
  <si>
    <t xml:space="preserve">Fazenda Vera Cruz - Furnas </t>
  </si>
  <si>
    <t>Confinamento</t>
  </si>
  <si>
    <t>Fazenda Porteiras</t>
  </si>
  <si>
    <t>Fazenda Codora</t>
  </si>
  <si>
    <t>Fazenda Jóia Bonópolis</t>
  </si>
  <si>
    <t>Fazenda Covoá</t>
  </si>
  <si>
    <t>Fazenda Bandeirantes</t>
  </si>
  <si>
    <t>Fazenda Jóia Mutunópolis</t>
  </si>
  <si>
    <t>Centro Comercial de Touros</t>
  </si>
  <si>
    <t>Fazenda União</t>
  </si>
  <si>
    <t>Fazenda Canandá</t>
  </si>
  <si>
    <t>Fazenda Aroeira</t>
  </si>
  <si>
    <t>DEPARTAMENTO</t>
  </si>
  <si>
    <t>QUANTIDADE</t>
  </si>
  <si>
    <t>CATEGORIA</t>
  </si>
  <si>
    <t xml:space="preserve">MATRIZES </t>
  </si>
  <si>
    <t>REPRODUTORES</t>
  </si>
  <si>
    <t>BEZERROS ATÉ 1 ANO</t>
  </si>
  <si>
    <t>BEZERRAS ATÉ 1 ANO</t>
  </si>
  <si>
    <t>BEZERROS DE 1 A 2 ANOS</t>
  </si>
  <si>
    <t>BEZERRAS DE 1 A 2 ANOS</t>
  </si>
  <si>
    <t>NOVILHOS DE 24 A 36 MESES</t>
  </si>
  <si>
    <t>NOVILHAS DE 24 A 36 MESES</t>
  </si>
  <si>
    <t>NOVILHOS + 36 MESES</t>
  </si>
  <si>
    <t>CUSTO MEDIO</t>
  </si>
  <si>
    <t>CONFINAMENTO</t>
  </si>
  <si>
    <t>PALHA</t>
  </si>
  <si>
    <t>GRAOS REIDRATADOS</t>
  </si>
  <si>
    <t>VALOR TOTAL</t>
  </si>
  <si>
    <t>PREÇO/KG</t>
  </si>
  <si>
    <t>QTDE</t>
  </si>
  <si>
    <t>CUSTO MÉDIO</t>
  </si>
  <si>
    <t>MACHO RECRIA</t>
  </si>
  <si>
    <t>FEMEA RECRIA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</si>
</sst>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1" xfId="0" applyNumberFormat="1" applyBorder="1"/>
    <xf numFmtId="0" fontId="0" fillId="0" borderId="1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0105-4138-4C1C-8F61-B2C114D92FF9}">
  <dimension ref="A1:I13"/>
  <sheetViews>
    <sheetView tabSelected="1" workbookViewId="0">
      <selection activeCell="G7" sqref="G7"/>
    </sheetView>
  </sheetViews>
  <sheetFormatPr defaultRowHeight="14.4" x14ac:dyDescent="0.3"/>
  <cols>
    <col min="1" max="1" width="23.5546875" bestFit="1" customWidth="1"/>
    <col min="2" max="2" width="11.88671875" bestFit="1" customWidth="1"/>
    <col min="4" max="4" width="24.5546875" bestFit="1" customWidth="1"/>
    <col min="5" max="5" width="12.6640625" bestFit="1" customWidth="1"/>
    <col min="7" max="8" width="19.33203125" bestFit="1" customWidth="1"/>
    <col min="9" max="9" width="12.6640625" bestFit="1" customWidth="1"/>
  </cols>
  <sheetData>
    <row r="1" spans="1:9" x14ac:dyDescent="0.3">
      <c r="A1" s="1" t="s">
        <v>12</v>
      </c>
      <c r="B1" s="1" t="s">
        <v>13</v>
      </c>
      <c r="D1" s="1" t="s">
        <v>14</v>
      </c>
      <c r="E1" s="1" t="s">
        <v>24</v>
      </c>
      <c r="G1" s="1" t="s">
        <v>26</v>
      </c>
      <c r="H1" s="1"/>
    </row>
    <row r="2" spans="1:9" x14ac:dyDescent="0.3">
      <c r="A2" t="s">
        <v>0</v>
      </c>
      <c r="B2" s="4">
        <f>1937-10-5</f>
        <v>1922</v>
      </c>
      <c r="D2" t="s">
        <v>15</v>
      </c>
      <c r="E2" s="3">
        <v>2254.0009695275444</v>
      </c>
      <c r="G2" s="1" t="s">
        <v>13</v>
      </c>
      <c r="H2" s="1" t="s">
        <v>28</v>
      </c>
      <c r="I2" t="s">
        <v>29</v>
      </c>
    </row>
    <row r="3" spans="1:9" x14ac:dyDescent="0.3">
      <c r="A3" t="s">
        <v>1</v>
      </c>
      <c r="B3" s="4">
        <f>23063-5-2-6-2-7</f>
        <v>23041</v>
      </c>
      <c r="D3" s="2" t="s">
        <v>16</v>
      </c>
      <c r="E3" s="3">
        <v>6728.8666585164146</v>
      </c>
      <c r="G3" s="4"/>
      <c r="H3" s="4"/>
      <c r="I3" s="4"/>
    </row>
    <row r="4" spans="1:9" x14ac:dyDescent="0.3">
      <c r="A4" t="s">
        <v>2</v>
      </c>
      <c r="B4" s="4">
        <f>133-3-3-4</f>
        <v>123</v>
      </c>
      <c r="D4" t="s">
        <v>17</v>
      </c>
      <c r="E4" s="3">
        <v>3967.2589391046113</v>
      </c>
    </row>
    <row r="5" spans="1:9" x14ac:dyDescent="0.3">
      <c r="A5" t="s">
        <v>3</v>
      </c>
      <c r="B5" s="4">
        <f>951-13-19</f>
        <v>919</v>
      </c>
      <c r="D5" t="s">
        <v>18</v>
      </c>
      <c r="E5" s="3">
        <v>3543.1042950476958</v>
      </c>
      <c r="G5" s="1" t="s">
        <v>27</v>
      </c>
    </row>
    <row r="6" spans="1:9" x14ac:dyDescent="0.3">
      <c r="A6" t="s">
        <v>4</v>
      </c>
      <c r="B6" s="4">
        <f>10315-61-1-57-3-23</f>
        <v>10170</v>
      </c>
      <c r="D6" t="s">
        <v>19</v>
      </c>
      <c r="E6" s="3">
        <v>4356.0758949612364</v>
      </c>
      <c r="G6" s="1" t="s">
        <v>13</v>
      </c>
      <c r="H6" s="1" t="s">
        <v>28</v>
      </c>
      <c r="I6" t="s">
        <v>29</v>
      </c>
    </row>
    <row r="7" spans="1:9" x14ac:dyDescent="0.3">
      <c r="A7" t="s">
        <v>5</v>
      </c>
      <c r="B7" s="4">
        <f>156</f>
        <v>156</v>
      </c>
      <c r="D7" t="s">
        <v>20</v>
      </c>
      <c r="E7" s="3">
        <v>3347.9099158386416</v>
      </c>
      <c r="G7" s="3">
        <v>5351514</v>
      </c>
      <c r="H7" s="3">
        <v>3020613.35</v>
      </c>
      <c r="I7" s="3">
        <f>H7/G7</f>
        <v>0.56444089467018121</v>
      </c>
    </row>
    <row r="8" spans="1:9" x14ac:dyDescent="0.3">
      <c r="A8" t="s">
        <v>6</v>
      </c>
      <c r="B8" s="4">
        <f>7278-43-45-18-32</f>
        <v>7140</v>
      </c>
      <c r="D8" t="s">
        <v>21</v>
      </c>
      <c r="E8" s="3">
        <v>4951.0473387608454</v>
      </c>
    </row>
    <row r="9" spans="1:9" x14ac:dyDescent="0.3">
      <c r="A9" t="s">
        <v>7</v>
      </c>
      <c r="B9" s="4">
        <f>5090-4-25-15</f>
        <v>5046</v>
      </c>
      <c r="D9" t="s">
        <v>22</v>
      </c>
      <c r="E9" s="3">
        <v>4027.2556238628295</v>
      </c>
    </row>
    <row r="10" spans="1:9" x14ac:dyDescent="0.3">
      <c r="A10" t="s">
        <v>8</v>
      </c>
      <c r="B10" s="4">
        <f>47-1</f>
        <v>46</v>
      </c>
      <c r="D10" t="s">
        <v>23</v>
      </c>
      <c r="E10" s="3">
        <v>8304.5735196734731</v>
      </c>
    </row>
    <row r="11" spans="1:9" x14ac:dyDescent="0.3">
      <c r="A11" t="s">
        <v>9</v>
      </c>
      <c r="B11" s="4">
        <f>553-1-3</f>
        <v>549</v>
      </c>
      <c r="D11" t="s">
        <v>25</v>
      </c>
      <c r="E11" s="3">
        <v>5284.6797286452602</v>
      </c>
      <c r="G11" s="1" t="s">
        <v>14</v>
      </c>
      <c r="H11" s="1" t="s">
        <v>30</v>
      </c>
      <c r="I11" s="1" t="s">
        <v>31</v>
      </c>
    </row>
    <row r="12" spans="1:9" x14ac:dyDescent="0.3">
      <c r="A12" t="s">
        <v>10</v>
      </c>
      <c r="B12" s="4">
        <f>1072-2-3-3</f>
        <v>1064</v>
      </c>
      <c r="G12" t="s">
        <v>32</v>
      </c>
      <c r="H12" s="5">
        <v>19705</v>
      </c>
      <c r="I12" s="5">
        <v>4267.8936828367932</v>
      </c>
    </row>
    <row r="13" spans="1:9" x14ac:dyDescent="0.3">
      <c r="A13" t="s">
        <v>11</v>
      </c>
      <c r="B13" s="4">
        <f>254</f>
        <v>254</v>
      </c>
      <c r="G13" t="s">
        <v>33</v>
      </c>
      <c r="H13" s="5">
        <v>4278</v>
      </c>
      <c r="I13" s="5">
        <v>3553.4365202112817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2026-06-11T12:10:37Z</dcterms:created>
  <dcterms:modified xsi:type="dcterms:W3CDTF">2026-10-09T18:21:29Z</dcterms:modified>
</cp:coreProperties>
</file>