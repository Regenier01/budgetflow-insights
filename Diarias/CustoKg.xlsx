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Diarias\"/>
    </mc:Choice>
  </mc:AlternateContent>
  <xr:revisionPtr revIDLastSave="0" documentId="13_ncr:1_{E98BD3BB-F1C2-4FE8-8A60-96886C6723C8}" xr6:coauthVersionLast="47" xr6:coauthVersionMax="47" xr10:uidLastSave="{00000000-0000-0000-0000-000000000000}"/>
  <bookViews>
    <workbookView xWindow="-108" yWindow="-108" windowWidth="23256" windowHeight="12456" activeTab="1" xr2:uid="{202230F5-B999-493F-8126-8B87BE85ADD7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2" i="2" l="1"/>
  <c r="N22" i="2"/>
  <c r="M22" i="2"/>
  <c r="L22" i="2"/>
  <c r="K22" i="2"/>
  <c r="J22" i="2"/>
  <c r="H22" i="2"/>
  <c r="G22" i="2"/>
  <c r="F22" i="2"/>
  <c r="E22" i="2"/>
  <c r="D22" i="2"/>
  <c r="AB20" i="2"/>
  <c r="AA20" i="2"/>
  <c r="Z20" i="2"/>
  <c r="Y20" i="2"/>
  <c r="X20" i="2"/>
  <c r="W20" i="2"/>
  <c r="V20" i="2"/>
  <c r="U20" i="2"/>
  <c r="T20" i="2"/>
  <c r="S20" i="2"/>
  <c r="R20" i="2"/>
  <c r="Q20" i="2"/>
  <c r="O20" i="2"/>
  <c r="N20" i="2"/>
  <c r="M20" i="2"/>
  <c r="L20" i="2"/>
  <c r="K20" i="2"/>
  <c r="J20" i="2"/>
  <c r="I20" i="2"/>
  <c r="H20" i="2"/>
  <c r="G20" i="2"/>
  <c r="F20" i="2"/>
  <c r="E20" i="2"/>
  <c r="D20" i="2"/>
  <c r="AO20" i="2"/>
  <c r="AN20" i="2"/>
  <c r="AM20" i="2"/>
  <c r="AL20" i="2"/>
  <c r="AK20" i="2"/>
  <c r="AJ20" i="2"/>
  <c r="AH20" i="2"/>
  <c r="AG20" i="2"/>
  <c r="AF20" i="2"/>
  <c r="AE20" i="2"/>
  <c r="AD20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O8" i="2"/>
  <c r="AE8" i="2"/>
  <c r="AF8" i="2"/>
  <c r="AG8" i="2"/>
  <c r="AH8" i="2"/>
  <c r="AI8" i="2"/>
  <c r="AJ8" i="2"/>
  <c r="AK8" i="2"/>
  <c r="AL8" i="2"/>
  <c r="AM8" i="2"/>
  <c r="AN8" i="2"/>
  <c r="AD8" i="2"/>
</calcChain>
</file>

<file path=xl/sharedStrings.xml><?xml version="1.0" encoding="utf-8"?>
<sst xmlns="http://schemas.openxmlformats.org/spreadsheetml/2006/main" count="27" uniqueCount="3">
  <si>
    <t>Orçado</t>
  </si>
  <si>
    <t>Realizado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</si>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</sst>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b/>
      <sz val="10"/>
      <name val="Arial"/>
      <family val="2"/>
    </font>
    <font>
      <sz val="8"/>
      <color rgb="FF1E293B"/>
      <name val="Arial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8">
    <xf numFmtId="0" fontId="0" fillId="0" borderId="0" xfId="0"/>
    <xf numFmtId="4" fontId="0" fillId="0" borderId="0" xfId="0" applyNumberFormat="1"/>
    <xf numFmtId="17" fontId="1" fillId="0" borderId="1" xfId="0" applyNumberFormat="1" applyFont="1" applyBorder="1" applyAlignment="1">
      <alignment horizontal="center" vertical="center"/>
    </xf>
    <xf numFmtId="3" fontId="2" fillId="0" borderId="0" xfId="0" applyNumberFormat="1" applyFont="1"/>
    <xf numFmtId="4" fontId="0" fillId="0" borderId="2" xfId="0" applyNumberFormat="1" applyBorder="1"/>
    <xf numFmtId="4" fontId="0" fillId="0" borderId="3" xfId="0" applyNumberFormat="1" applyBorder="1"/>
    <xf numFmtId="43" fontId="3" fillId="2" borderId="3" xfId="1" applyFont="1" applyFill="1" applyBorder="1"/>
    <xf numFmtId="43" fontId="0" fillId="0" borderId="3" xfId="0" applyNumberFormat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69B8F-9389-422B-815C-AE264BF4E6DD}">
  <dimension ref="A1:M16"/>
  <sheetViews>
    <sheetView workbookViewId="0">
      <selection activeCell="G2" sqref="G2"/>
    </sheetView>
  </sheetViews>
  <sheetFormatPr defaultRowHeight="14.4" x14ac:dyDescent="0.3"/>
  <cols>
    <col min="2" max="4" width="11.6640625" bestFit="1" customWidth="1"/>
    <col min="5" max="6" width="12.6640625" bestFit="1" customWidth="1"/>
    <col min="7" max="13" width="11.6640625" bestFit="1" customWidth="1"/>
  </cols>
  <sheetData>
    <row r="1" spans="1:13" x14ac:dyDescent="0.3">
      <c r="B1" s="2">
        <v>46113</v>
      </c>
      <c r="C1" s="2">
        <v>46143</v>
      </c>
      <c r="D1" s="2">
        <v>46174</v>
      </c>
      <c r="E1" s="2">
        <v>46204</v>
      </c>
      <c r="F1" s="2">
        <v>46235</v>
      </c>
      <c r="G1" s="2">
        <v>46266</v>
      </c>
      <c r="H1" s="2">
        <v>46296</v>
      </c>
      <c r="I1" s="2">
        <v>46327</v>
      </c>
      <c r="J1" s="2">
        <v>46357</v>
      </c>
      <c r="K1" s="2">
        <v>46388</v>
      </c>
      <c r="L1" s="2">
        <v>46419</v>
      </c>
      <c r="M1" s="2">
        <v>46447</v>
      </c>
    </row>
    <row r="2" spans="1:13" x14ac:dyDescent="0.3">
      <c r="A2" t="s">
        <v>0</v>
      </c>
      <c r="B2" s="1">
        <v>3.1666140561686942</v>
      </c>
      <c r="C2" s="1">
        <v>3.2388691094210893</v>
      </c>
      <c r="D2" s="1">
        <v>3.2513808856417872</v>
      </c>
      <c r="E2" s="1">
        <v>3.7205354170261029</v>
      </c>
      <c r="F2" s="1">
        <v>11.517619314631547</v>
      </c>
      <c r="G2" s="1"/>
      <c r="H2" s="1">
        <v>9.4505021587200329</v>
      </c>
      <c r="I2" s="1">
        <v>7.2655614115362068</v>
      </c>
      <c r="J2" s="1">
        <v>3.9902937200553694</v>
      </c>
      <c r="K2" s="1">
        <v>3.6362196757869958</v>
      </c>
      <c r="L2" s="1">
        <v>3.9893671015064887</v>
      </c>
      <c r="M2" s="1">
        <v>3.0982426330902419</v>
      </c>
    </row>
    <row r="3" spans="1:13" x14ac:dyDescent="0.3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x14ac:dyDescent="0.3">
      <c r="C4" s="3"/>
    </row>
    <row r="5" spans="1:13" x14ac:dyDescent="0.3">
      <c r="C5" s="1"/>
    </row>
    <row r="16" spans="1:13" x14ac:dyDescent="0.3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1800C-716D-4338-AC63-5D8DE1893EA4}">
  <dimension ref="D8:AO22"/>
  <sheetViews>
    <sheetView tabSelected="1" topLeftCell="A4" workbookViewId="0">
      <selection activeCell="D24" sqref="D24"/>
    </sheetView>
  </sheetViews>
  <sheetFormatPr defaultRowHeight="14.4" x14ac:dyDescent="0.3"/>
  <cols>
    <col min="4" max="15" width="11.6640625" bestFit="1" customWidth="1"/>
    <col min="17" max="17" width="12.109375" bestFit="1" customWidth="1"/>
    <col min="18" max="19" width="11.6640625" bestFit="1" customWidth="1"/>
    <col min="20" max="21" width="10.109375" bestFit="1" customWidth="1"/>
    <col min="22" max="22" width="9" bestFit="1" customWidth="1"/>
    <col min="23" max="25" width="10.109375" bestFit="1" customWidth="1"/>
    <col min="26" max="26" width="11.6640625" bestFit="1" customWidth="1"/>
    <col min="27" max="27" width="10.109375" bestFit="1" customWidth="1"/>
    <col min="28" max="28" width="11.6640625" bestFit="1" customWidth="1"/>
  </cols>
  <sheetData>
    <row r="8" spans="4:41" x14ac:dyDescent="0.3">
      <c r="D8">
        <v>371333.84934617142</v>
      </c>
      <c r="E8">
        <v>395317.02247852186</v>
      </c>
      <c r="F8">
        <v>381165.1192711991</v>
      </c>
      <c r="G8">
        <v>401451.67707576678</v>
      </c>
      <c r="H8">
        <v>325830.94110543357</v>
      </c>
      <c r="I8">
        <v>274082.50818045007</v>
      </c>
      <c r="J8">
        <v>345177.94931498251</v>
      </c>
      <c r="K8">
        <v>355898.68745955057</v>
      </c>
      <c r="L8">
        <v>350054.34592057724</v>
      </c>
      <c r="M8">
        <v>397313.39848832518</v>
      </c>
      <c r="N8">
        <v>442041.28789930593</v>
      </c>
      <c r="O8">
        <v>460594.57922112499</v>
      </c>
      <c r="Q8" s="5">
        <v>362024.72256853979</v>
      </c>
      <c r="R8" s="5">
        <v>364353.8698989838</v>
      </c>
      <c r="S8" s="5">
        <v>350650.50336369872</v>
      </c>
      <c r="T8" s="5">
        <v>288587.76446577063</v>
      </c>
      <c r="U8" s="5">
        <v>39685.087957965196</v>
      </c>
      <c r="V8" s="5">
        <v>0</v>
      </c>
      <c r="W8" s="5">
        <v>126496.05001497795</v>
      </c>
      <c r="X8" s="5">
        <v>199625.07456361045</v>
      </c>
      <c r="Y8" s="5">
        <v>256871.82783812113</v>
      </c>
      <c r="Z8" s="5">
        <v>319801.99075947871</v>
      </c>
      <c r="AA8" s="5">
        <v>274848.1899513122</v>
      </c>
      <c r="AB8" s="5">
        <v>384833.53812637529</v>
      </c>
      <c r="AD8">
        <f>D8/Q8</f>
        <v>1.0257140637014623</v>
      </c>
      <c r="AE8">
        <f t="shared" ref="AE8:AN8" si="0">E8/R8</f>
        <v>1.0849809900142477</v>
      </c>
      <c r="AF8">
        <f t="shared" si="0"/>
        <v>1.0870228778079074</v>
      </c>
      <c r="AG8">
        <f t="shared" si="0"/>
        <v>1.391090429003212</v>
      </c>
      <c r="AH8">
        <f t="shared" si="0"/>
        <v>8.210412471570093</v>
      </c>
      <c r="AI8" t="e">
        <f t="shared" si="0"/>
        <v>#DIV/0!</v>
      </c>
      <c r="AJ8">
        <f t="shared" si="0"/>
        <v>2.7287646473871017</v>
      </c>
      <c r="AK8">
        <f t="shared" si="0"/>
        <v>1.7828355893545005</v>
      </c>
      <c r="AL8">
        <f t="shared" si="0"/>
        <v>1.3627588080277107</v>
      </c>
      <c r="AM8">
        <f t="shared" si="0"/>
        <v>1.2423731245223621</v>
      </c>
      <c r="AN8">
        <f t="shared" si="0"/>
        <v>1.6083107113698329</v>
      </c>
      <c r="AO8">
        <f>O8/AB8</f>
        <v>1.1968670440305298</v>
      </c>
    </row>
    <row r="10" spans="4:41" x14ac:dyDescent="0.3">
      <c r="D10">
        <v>1221192.4248316474</v>
      </c>
      <c r="E10">
        <v>1195392.8310769447</v>
      </c>
      <c r="F10">
        <v>1146914.4045757437</v>
      </c>
      <c r="G10">
        <v>1132722.6358178582</v>
      </c>
      <c r="H10">
        <v>906736.93984635826</v>
      </c>
      <c r="I10">
        <v>1286629.6800940582</v>
      </c>
      <c r="J10">
        <v>1183026.668931209</v>
      </c>
      <c r="K10">
        <v>1737536.584937636</v>
      </c>
      <c r="L10">
        <v>1095759.1160786387</v>
      </c>
      <c r="M10">
        <v>1286993.5368095678</v>
      </c>
      <c r="N10">
        <v>1062358.1302641782</v>
      </c>
      <c r="O10">
        <v>1179874.026566437</v>
      </c>
      <c r="Q10" s="4">
        <v>124583.2788198116</v>
      </c>
      <c r="R10" s="5">
        <v>125384.80643157904</v>
      </c>
      <c r="S10" s="5">
        <v>120669.07784342363</v>
      </c>
      <c r="T10" s="5">
        <v>99311.477043169158</v>
      </c>
      <c r="U10" s="5">
        <v>43815.193443481112</v>
      </c>
      <c r="V10" s="5">
        <v>0</v>
      </c>
      <c r="W10" s="5">
        <v>20533.012349666009</v>
      </c>
      <c r="X10" s="5">
        <v>64081.413780570263</v>
      </c>
      <c r="Y10" s="5">
        <v>92510.926288868301</v>
      </c>
      <c r="Z10" s="5">
        <v>102659.26633970051</v>
      </c>
      <c r="AA10" s="5">
        <v>88228.698852651112</v>
      </c>
      <c r="AB10" s="5">
        <v>123534.96797547344</v>
      </c>
      <c r="AD10">
        <f>D10/Q10</f>
        <v>9.8022177325890851</v>
      </c>
      <c r="AE10">
        <f t="shared" ref="AE10" si="1">E10/R10</f>
        <v>9.5337933286937435</v>
      </c>
      <c r="AF10">
        <f t="shared" ref="AF10" si="2">F10/S10</f>
        <v>9.5046255848904675</v>
      </c>
      <c r="AG10">
        <f t="shared" ref="AG10" si="3">G10/T10</f>
        <v>11.405757617777462</v>
      </c>
      <c r="AH10">
        <f t="shared" ref="AH10" si="4">H10/U10</f>
        <v>20.69457803526516</v>
      </c>
      <c r="AI10" t="e">
        <f t="shared" ref="AI10" si="5">I10/V10</f>
        <v>#DIV/0!</v>
      </c>
      <c r="AJ10">
        <f t="shared" ref="AJ10" si="6">J10/W10</f>
        <v>57.615835844488359</v>
      </c>
      <c r="AK10">
        <f t="shared" ref="AK10" si="7">K10/X10</f>
        <v>27.114517024973377</v>
      </c>
      <c r="AL10">
        <f t="shared" ref="AL10" si="8">L10/Y10</f>
        <v>11.844645384450006</v>
      </c>
      <c r="AM10">
        <f t="shared" ref="AM10" si="9">M10/Z10</f>
        <v>12.536554981319403</v>
      </c>
      <c r="AN10">
        <f t="shared" ref="AN10" si="10">N10/AA10</f>
        <v>12.040958827222422</v>
      </c>
      <c r="AO10">
        <f>O10/AB10</f>
        <v>9.5509315775326744</v>
      </c>
    </row>
    <row r="13" spans="4:41" x14ac:dyDescent="0.3">
      <c r="D13">
        <v>242289.87398670817</v>
      </c>
      <c r="E13">
        <v>251009.62391153956</v>
      </c>
      <c r="F13">
        <v>245339.95315213731</v>
      </c>
      <c r="G13">
        <v>241089.31340844117</v>
      </c>
      <c r="H13">
        <v>200132.68009553882</v>
      </c>
      <c r="I13">
        <v>195170.24800899994</v>
      </c>
      <c r="J13">
        <v>239195.67604726399</v>
      </c>
      <c r="K13">
        <v>227382.65498484904</v>
      </c>
      <c r="L13">
        <v>227621.34148314991</v>
      </c>
      <c r="M13">
        <v>265230.38637720182</v>
      </c>
      <c r="N13">
        <v>286054.31453112751</v>
      </c>
      <c r="O13">
        <v>306098.31217160233</v>
      </c>
      <c r="Q13" s="5">
        <v>82061.798221924881</v>
      </c>
      <c r="R13" s="5">
        <v>82589.75669090444</v>
      </c>
      <c r="S13" s="5">
        <v>79483.551977587529</v>
      </c>
      <c r="T13" s="5">
        <v>65415.507341278026</v>
      </c>
      <c r="U13" s="5">
        <v>28860.64323779683</v>
      </c>
      <c r="V13" s="5">
        <v>0</v>
      </c>
      <c r="W13" s="5">
        <v>13524.89621631819</v>
      </c>
      <c r="X13" s="5">
        <v>42209.80614134061</v>
      </c>
      <c r="Y13" s="5">
        <v>60936.050474481774</v>
      </c>
      <c r="Z13" s="5">
        <v>67620.663702099278</v>
      </c>
      <c r="AA13" s="5">
        <v>58115.388768190554</v>
      </c>
      <c r="AB13" s="5">
        <v>81371.286029623734</v>
      </c>
      <c r="AD13">
        <f>D13/Q13</f>
        <v>2.9525294258294026</v>
      </c>
      <c r="AE13">
        <f t="shared" ref="AE13" si="11">E13/R13</f>
        <v>3.039234330849931</v>
      </c>
      <c r="AF13">
        <f t="shared" ref="AF13" si="12">F13/S13</f>
        <v>3.0866757592981924</v>
      </c>
      <c r="AG13">
        <f t="shared" ref="AG13" si="13">G13/T13</f>
        <v>3.6855070488203752</v>
      </c>
      <c r="AH13">
        <f t="shared" ref="AH13" si="14">H13/U13</f>
        <v>6.9344497434290933</v>
      </c>
      <c r="AI13" t="e">
        <f t="shared" ref="AI13" si="15">I13/V13</f>
        <v>#DIV/0!</v>
      </c>
      <c r="AJ13">
        <f t="shared" ref="AJ13" si="16">J13/W13</f>
        <v>17.685583107001388</v>
      </c>
      <c r="AK13">
        <f t="shared" ref="AK13" si="17">K13/X13</f>
        <v>5.3869627883021405</v>
      </c>
      <c r="AL13">
        <f t="shared" ref="AL13" si="18">L13/Y13</f>
        <v>3.7354134327834561</v>
      </c>
      <c r="AM13">
        <f t="shared" ref="AM13" si="19">M13/Z13</f>
        <v>3.9223274640672856</v>
      </c>
      <c r="AN13">
        <f t="shared" ref="AN13" si="20">N13/AA13</f>
        <v>4.922178455557356</v>
      </c>
      <c r="AO13">
        <f>O13/AB13</f>
        <v>3.7617484877916922</v>
      </c>
    </row>
    <row r="16" spans="4:41" x14ac:dyDescent="0.3">
      <c r="D16">
        <v>2064519.4789879969</v>
      </c>
      <c r="E16">
        <v>2173334.1465476635</v>
      </c>
      <c r="F16">
        <v>2104120.1807584208</v>
      </c>
      <c r="G16">
        <v>1875002.0674359149</v>
      </c>
      <c r="H16">
        <v>1936655.3332549438</v>
      </c>
      <c r="I16">
        <v>2029728.7620890024</v>
      </c>
      <c r="J16">
        <v>2017539.9693431584</v>
      </c>
      <c r="K16">
        <v>2658919.1453985628</v>
      </c>
      <c r="L16">
        <v>1915804.8278516994</v>
      </c>
      <c r="M16">
        <v>2046301.595443628</v>
      </c>
      <c r="N16">
        <v>1973149.443088755</v>
      </c>
      <c r="O16">
        <v>2145301.7276621889</v>
      </c>
      <c r="Q16" s="6">
        <v>658944.47849279118</v>
      </c>
      <c r="R16" s="6">
        <v>663183.90933083778</v>
      </c>
      <c r="S16" s="6">
        <v>638241.53066917206</v>
      </c>
      <c r="T16" s="6">
        <v>525277.14849445212</v>
      </c>
      <c r="U16" s="6">
        <v>178575.67944557467</v>
      </c>
      <c r="V16" s="6">
        <v>0</v>
      </c>
      <c r="W16" s="6">
        <v>239277.87667006301</v>
      </c>
      <c r="X16" s="6">
        <v>377307.80637785373</v>
      </c>
      <c r="Y16" s="6">
        <v>485508.87754828483</v>
      </c>
      <c r="Z16" s="6">
        <v>604452.06030608178</v>
      </c>
      <c r="AA16" s="6">
        <v>519485.68016393424</v>
      </c>
      <c r="AB16" s="6">
        <v>727367.03246576688</v>
      </c>
      <c r="AD16">
        <f>D16/Q16</f>
        <v>3.133070457939322</v>
      </c>
      <c r="AE16">
        <f t="shared" ref="AE16" si="21">E16/R16</f>
        <v>3.277121347441299</v>
      </c>
      <c r="AF16">
        <f t="shared" ref="AF16" si="22">F16/S16</f>
        <v>3.2967459490646598</v>
      </c>
      <c r="AG16">
        <f t="shared" ref="AG16" si="23">G16/T16</f>
        <v>3.5695481381781797</v>
      </c>
      <c r="AH16">
        <f t="shared" ref="AH16" si="24">H16/U16</f>
        <v>10.845011701860482</v>
      </c>
      <c r="AI16" t="e">
        <f t="shared" ref="AI16" si="25">I16/V16</f>
        <v>#DIV/0!</v>
      </c>
      <c r="AJ16">
        <f t="shared" ref="AJ16" si="26">J16/W16</f>
        <v>8.4317864961879305</v>
      </c>
      <c r="AK16">
        <f t="shared" ref="AK16" si="27">K16/X16</f>
        <v>7.0470822507599973</v>
      </c>
      <c r="AL16">
        <f t="shared" ref="AL16" si="28">L16/Y16</f>
        <v>3.9459728059476498</v>
      </c>
      <c r="AM16">
        <f t="shared" ref="AM16" si="29">M16/Z16</f>
        <v>3.385382778590289</v>
      </c>
      <c r="AN16">
        <f t="shared" ref="AN16" si="30">N16/AA16</f>
        <v>3.7982749446839184</v>
      </c>
      <c r="AO16">
        <f>O16/AB16</f>
        <v>2.9494074269349793</v>
      </c>
    </row>
    <row r="18" spans="4:41" x14ac:dyDescent="0.3">
      <c r="D18">
        <v>33815.891362076989</v>
      </c>
      <c r="E18">
        <v>33725.60926156128</v>
      </c>
      <c r="F18">
        <v>34017.020815351345</v>
      </c>
      <c r="G18">
        <v>33488.723916416755</v>
      </c>
      <c r="H18">
        <v>26657.139738894995</v>
      </c>
      <c r="I18">
        <v>31365.000455227233</v>
      </c>
      <c r="J18">
        <v>48149.539421137852</v>
      </c>
      <c r="K18">
        <v>50365.565392817894</v>
      </c>
      <c r="L18">
        <v>32086.181860818</v>
      </c>
      <c r="M18">
        <v>37120.509900358848</v>
      </c>
      <c r="N18">
        <v>39074.02300006587</v>
      </c>
      <c r="O18">
        <v>43182.797534288373</v>
      </c>
      <c r="Q18" s="7">
        <v>14454.205377785131</v>
      </c>
      <c r="R18" s="7">
        <v>14547.198954661595</v>
      </c>
      <c r="S18" s="7">
        <v>14000.078103735235</v>
      </c>
      <c r="T18" s="7">
        <v>11522.160109699151</v>
      </c>
      <c r="U18" s="7">
        <v>3917.1275129094151</v>
      </c>
      <c r="V18" s="7">
        <v>0</v>
      </c>
      <c r="W18" s="7">
        <v>5764.5805458791529</v>
      </c>
      <c r="X18" s="7">
        <v>9097.1601181444585</v>
      </c>
      <c r="Y18" s="7">
        <v>11705.965058709113</v>
      </c>
      <c r="Z18" s="7">
        <v>14573.769965522482</v>
      </c>
      <c r="AA18" s="7">
        <v>12525.169984958668</v>
      </c>
      <c r="AB18" s="7">
        <v>17537.337545500217</v>
      </c>
      <c r="AD18">
        <f>D18/Q18</f>
        <v>2.3395192249066215</v>
      </c>
      <c r="AE18">
        <f t="shared" ref="AE18" si="31">E18/R18</f>
        <v>2.318357600433727</v>
      </c>
      <c r="AF18">
        <f t="shared" ref="AF18" si="32">F18/S18</f>
        <v>2.4297736457824168</v>
      </c>
      <c r="AG18">
        <f t="shared" ref="AG18" si="33">G18/T18</f>
        <v>2.9064622950540793</v>
      </c>
      <c r="AH18">
        <f t="shared" ref="AH18" si="34">H18/U18</f>
        <v>6.8052775027217889</v>
      </c>
      <c r="AI18" t="e">
        <f t="shared" ref="AI18" si="35">I18/V18</f>
        <v>#DIV/0!</v>
      </c>
      <c r="AJ18">
        <f t="shared" ref="AJ18" si="36">J18/W18</f>
        <v>8.3526527277961033</v>
      </c>
      <c r="AK18">
        <f t="shared" ref="AK18" si="37">K18/X18</f>
        <v>5.5364052889827473</v>
      </c>
      <c r="AL18">
        <f t="shared" ref="AL18" si="38">L18/Y18</f>
        <v>2.741011245112698</v>
      </c>
      <c r="AM18">
        <f t="shared" ref="AM18" si="39">M18/Z18</f>
        <v>2.5470766993149838</v>
      </c>
      <c r="AN18">
        <f t="shared" ref="AN18" si="40">N18/AA18</f>
        <v>3.1196401363805375</v>
      </c>
      <c r="AO18">
        <f>O18/AB18</f>
        <v>2.4623348568305539</v>
      </c>
    </row>
    <row r="19" spans="4:41" x14ac:dyDescent="0.3"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</v>
      </c>
      <c r="M19" t="s">
        <v>2</v>
      </c>
      <c r="N19" t="s">
        <v>2</v>
      </c>
      <c r="O19" t="s">
        <v>2</v>
      </c>
      <c r="P19" t="s">
        <v>2</v>
      </c>
      <c r="Q19" t="s">
        <v>2</v>
      </c>
      <c r="R19" t="s">
        <v>2</v>
      </c>
      <c r="S19" t="s">
        <v>2</v>
      </c>
      <c r="T19" t="s">
        <v>2</v>
      </c>
      <c r="U19" t="s">
        <v>2</v>
      </c>
      <c r="V19" t="s">
        <v>2</v>
      </c>
      <c r="W19" t="s">
        <v>2</v>
      </c>
      <c r="X19" t="s">
        <v>2</v>
      </c>
      <c r="Y19" t="s">
        <v>2</v>
      </c>
      <c r="Z19" t="s">
        <v>2</v>
      </c>
      <c r="AA19" t="s">
        <v>2</v>
      </c>
      <c r="AB19" t="s">
        <v>2</v>
      </c>
    </row>
    <row r="20" spans="4:41" x14ac:dyDescent="0.3">
      <c r="D20" s="1">
        <f>SUM(D8:D19)</f>
        <v>3933151.518514601</v>
      </c>
      <c r="E20" s="1">
        <f t="shared" ref="E20:O20" si="41">SUM(E8:E19)</f>
        <v>4048779.2332762307</v>
      </c>
      <c r="F20" s="1">
        <f t="shared" si="41"/>
        <v>3911556.6785728526</v>
      </c>
      <c r="G20" s="1">
        <f t="shared" si="41"/>
        <v>3683754.4176543979</v>
      </c>
      <c r="H20" s="1">
        <f t="shared" si="41"/>
        <v>3396013.0340411691</v>
      </c>
      <c r="I20" s="1">
        <f t="shared" si="41"/>
        <v>3816976.1988277379</v>
      </c>
      <c r="J20" s="1">
        <f t="shared" si="41"/>
        <v>3833089.8030577521</v>
      </c>
      <c r="K20" s="1">
        <f t="shared" si="41"/>
        <v>5030102.6381734163</v>
      </c>
      <c r="L20" s="1">
        <f t="shared" si="41"/>
        <v>3621325.8131948835</v>
      </c>
      <c r="M20" s="1">
        <f t="shared" si="41"/>
        <v>4032959.4270190815</v>
      </c>
      <c r="N20" s="1">
        <f t="shared" si="41"/>
        <v>3802677.1987834321</v>
      </c>
      <c r="O20" s="1">
        <f t="shared" si="41"/>
        <v>4135051.4431556417</v>
      </c>
      <c r="Q20" s="1">
        <f>SUM(Q8:Q19)</f>
        <v>1242068.4834808526</v>
      </c>
      <c r="R20" s="1">
        <f t="shared" ref="R20:AB20" si="42">SUM(R8:R19)</f>
        <v>1250059.5413069667</v>
      </c>
      <c r="S20" s="1">
        <f t="shared" si="42"/>
        <v>1203044.7419576172</v>
      </c>
      <c r="T20" s="1">
        <f t="shared" si="42"/>
        <v>990114.05745436903</v>
      </c>
      <c r="U20" s="1">
        <f t="shared" si="42"/>
        <v>294853.73159772722</v>
      </c>
      <c r="V20" s="1">
        <f t="shared" si="42"/>
        <v>0</v>
      </c>
      <c r="W20" s="1">
        <f t="shared" si="42"/>
        <v>405596.4157969043</v>
      </c>
      <c r="X20" s="1">
        <f t="shared" si="42"/>
        <v>692321.26098151959</v>
      </c>
      <c r="Y20" s="1">
        <f t="shared" si="42"/>
        <v>907533.64720846515</v>
      </c>
      <c r="Z20" s="1">
        <f t="shared" si="42"/>
        <v>1109107.7510728827</v>
      </c>
      <c r="AA20" s="1">
        <f t="shared" si="42"/>
        <v>953203.12772104691</v>
      </c>
      <c r="AB20" s="1">
        <f t="shared" si="42"/>
        <v>1334644.1621427396</v>
      </c>
      <c r="AD20" s="1">
        <f>SUM(AD8:AD19)</f>
        <v>19.253050904965892</v>
      </c>
      <c r="AE20" s="1">
        <f t="shared" ref="AE20:AO20" si="43">SUM(AE8:AE19)</f>
        <v>19.253487597432951</v>
      </c>
      <c r="AF20" s="1">
        <f t="shared" si="43"/>
        <v>19.404843816843645</v>
      </c>
      <c r="AG20" s="1">
        <f t="shared" si="43"/>
        <v>22.958365528833312</v>
      </c>
      <c r="AH20" s="1">
        <f t="shared" si="43"/>
        <v>53.489729454846618</v>
      </c>
      <c r="AI20" s="1"/>
      <c r="AJ20" s="1">
        <f t="shared" si="43"/>
        <v>94.814622822860869</v>
      </c>
      <c r="AK20" s="1">
        <f t="shared" si="43"/>
        <v>46.867802942372769</v>
      </c>
      <c r="AL20" s="1">
        <f t="shared" si="43"/>
        <v>23.62980167632152</v>
      </c>
      <c r="AM20" s="1">
        <f t="shared" si="43"/>
        <v>23.633715047814327</v>
      </c>
      <c r="AN20" s="1">
        <f t="shared" si="43"/>
        <v>25.489363075214065</v>
      </c>
      <c r="AO20" s="1">
        <f t="shared" si="43"/>
        <v>19.921289393120432</v>
      </c>
    </row>
    <row r="22" spans="4:41" x14ac:dyDescent="0.3">
      <c r="D22" s="1">
        <f>D20/Q20</f>
        <v>3.1666140561686942</v>
      </c>
      <c r="E22" s="1">
        <f t="shared" ref="E22:O22" si="44">E20/R20</f>
        <v>3.2388691094210893</v>
      </c>
      <c r="F22" s="1">
        <f t="shared" si="44"/>
        <v>3.2513808856417872</v>
      </c>
      <c r="G22" s="1">
        <f t="shared" si="44"/>
        <v>3.7205354170261029</v>
      </c>
      <c r="H22" s="1">
        <f t="shared" si="44"/>
        <v>11.517619314631547</v>
      </c>
      <c r="I22" s="1"/>
      <c r="J22" s="1">
        <f t="shared" si="44"/>
        <v>9.4505021587200329</v>
      </c>
      <c r="K22" s="1">
        <f t="shared" si="44"/>
        <v>7.2655614115362068</v>
      </c>
      <c r="L22" s="1">
        <f t="shared" si="44"/>
        <v>3.9902937200553694</v>
      </c>
      <c r="M22" s="1">
        <f t="shared" si="44"/>
        <v>3.6362196757869958</v>
      </c>
      <c r="N22" s="1">
        <f t="shared" si="44"/>
        <v>3.9893671015064887</v>
      </c>
      <c r="O22" s="1">
        <f t="shared" si="44"/>
        <v>3.0982426330902419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2026-05-13T17:14:18Z</dcterms:created>
  <dcterms:modified xsi:type="dcterms:W3CDTF">2026-05-13T21:01:33Z</dcterms:modified>
</cp:coreProperties>
</file>